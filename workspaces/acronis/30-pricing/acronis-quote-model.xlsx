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icelist" sheetId="2" state="visible" r:id="rId4"/>
    <sheet name="Quote" sheetId="3" state="visible" r:id="rId5"/>
    <sheet name="Tier analysis" sheetId="4" state="visible" r:id="rId6"/>
    <sheet name="Summary" sheetId="5" state="visible" r:id="rId7"/>
    <sheet name="Data centers" sheetId="6" state="visible" r:id="rId8"/>
  </sheets>
  <definedNames>
    <definedName function="false" hidden="true" localSheetId="1" name="_xlnm._FilterDatabase" vbProcedure="false">Pricelist!$A$3:$O$123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Source: user-entered reference rate. SAR is pegged at 3.75 per USD; set TND, EUR, RWF or other rates on the proposal date and state the rate in the proposal.</t>
        </r>
      </text>
    </comment>
    <comment ref="B16" authorId="0">
      <text>
        <r>
          <rPr>
            <sz val="10"/>
            <rFont val="Arial"/>
            <family val="2"/>
          </rPr>
          <t xml:space="preserve">The tier is a Next Step portfolio decision, not a per-customer one. All customers under the Next Step tenant buy at the same tier. See 30-pricing/README.md.</t>
        </r>
      </text>
    </comment>
    <comment ref="B33" authorId="0">
      <text>
        <r>
          <rPr>
            <sz val="10"/>
            <rFont val="Arial"/>
            <family val="2"/>
          </rPr>
          <t xml:space="preserve">Assumption: Next Step operations, monitoring, restore tests and monthly reporting, priced per protected workload or seat. Set to 0 if the service is built into the margin instead.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Example rows: Scenario A from the pricing guide (2 servers, 25 workstations, 30 Microsoft 365 seats, 30 awareness-training users on Ultimate Protection, Abu Dhabi G2). Replace with the customer's quantities.</t>
        </r>
      </text>
    </comment>
  </commentList>
</comments>
</file>

<file path=xl/sharedStrings.xml><?xml version="1.0" encoding="utf-8"?>
<sst xmlns="http://schemas.openxmlformats.org/spreadsheetml/2006/main" count="1015" uniqueCount="463">
  <si>
    <t xml:space="preserve">Next Step Middle East — Acronis quote model</t>
  </si>
  <si>
    <t xml:space="preserve">Price list: Acronis Cyber Cloud Calculator C26.09 (USD). Buy prices are Acronis list to partner, USD per unit per month.</t>
  </si>
  <si>
    <t xml:space="preserve">Legend</t>
  </si>
  <si>
    <t xml:space="preserve">Blue text on yellow = key inputs to set for every quote</t>
  </si>
  <si>
    <t xml:space="preserve">Blue text = inputs and assumptions you may change</t>
  </si>
  <si>
    <t xml:space="preserve">Black = formulas. Do not overwrite.</t>
  </si>
  <si>
    <t xml:space="preserve">Quote settings</t>
  </si>
  <si>
    <t xml:space="preserve">Customer name</t>
  </si>
  <si>
    <t xml:space="preserve">Example Trading Co. (illustrative)</t>
  </si>
  <si>
    <t xml:space="preserve">Proposal reference</t>
  </si>
  <si>
    <t xml:space="preserve">NS-ACR-2026-001</t>
  </si>
  <si>
    <t xml:space="preserve">Proposal date</t>
  </si>
  <si>
    <t xml:space="preserve">2026-10-01</t>
  </si>
  <si>
    <t xml:space="preserve">Currency code</t>
  </si>
  <si>
    <t xml:space="preserve">SAR</t>
  </si>
  <si>
    <t xml:space="preserve">FX rate: local currency per 1 USD</t>
  </si>
  <si>
    <t xml:space="preserve">VAT rate</t>
  </si>
  <si>
    <t xml:space="preserve">Next Step commitment tier (USD per month)</t>
  </si>
  <si>
    <t xml:space="preserve">Contract term (months)</t>
  </si>
  <si>
    <t xml:space="preserve">Validity (days)</t>
  </si>
  <si>
    <t xml:space="preserve">Rounding of unit sell price (decimals)</t>
  </si>
  <si>
    <t xml:space="preserve">Margin assumptions by SKU family (gross margin on Acronis buy price)</t>
  </si>
  <si>
    <t xml:space="preserve">These defaults are placeholders pending the Next Step margin policy decision (decisions-log.md, 2026-10-01). Change them here; every quote line uses them unless overridden.</t>
  </si>
  <si>
    <t xml:space="preserve">Margin family</t>
  </si>
  <si>
    <t xml:space="preserve">Default margin %</t>
  </si>
  <si>
    <t xml:space="preserve">Covers</t>
  </si>
  <si>
    <t xml:space="preserve">Bundles</t>
  </si>
  <si>
    <t xml:space="preserve">Solution-based bundles: Security + RMM, Backup + DR, Ultimate Protection and their add-ons</t>
  </si>
  <si>
    <t xml:space="preserve">Security</t>
  </si>
  <si>
    <t xml:space="preserve">EDR, XDR, MDR, email and collaboration security, awareness training, DLP, GenAI Protection</t>
  </si>
  <si>
    <t xml:space="preserve">Backup &amp; DR</t>
  </si>
  <si>
    <t xml:space="preserve">Per-workload backup, disaster recovery, email archiving, files sync and share</t>
  </si>
  <si>
    <t xml:space="preserve">Storage</t>
  </si>
  <si>
    <t xml:space="preserve">Per-GB storage, geo-redundancy, compute points, public IPs</t>
  </si>
  <si>
    <t xml:space="preserve">Operations</t>
  </si>
  <si>
    <t xml:space="preserve">RMM and PSA</t>
  </si>
  <si>
    <t xml:space="preserve">Infrastructure</t>
  </si>
  <si>
    <t xml:space="preserve">Cyber Frame, Cyber Infrastructure, Cyber Workspace</t>
  </si>
  <si>
    <t xml:space="preserve">Other</t>
  </si>
  <si>
    <t xml:space="preserve">Pass-through services such as physical data shipping</t>
  </si>
  <si>
    <t xml:space="preserve">Service fees (local currency)</t>
  </si>
  <si>
    <t xml:space="preserve">Managed service fee per protected workload per month</t>
  </si>
  <si>
    <t xml:space="preserve">Fixed managed service fee per month</t>
  </si>
  <si>
    <t xml:space="preserve">Onboarding and migration (one-time)</t>
  </si>
  <si>
    <t xml:space="preserve">DR runbook and first failover test (one-time)</t>
  </si>
  <si>
    <t xml:space="preserve">Training (one-time)</t>
  </si>
  <si>
    <t xml:space="preserve">Notes</t>
  </si>
  <si>
    <t xml:space="preserve">1. Buy prices come from the Pricelist sheet (C26.09 USD). Replace that sheet when Acronis publishes a new list.</t>
  </si>
  <si>
    <t xml:space="preserve">2. Unit sell (USD) = unit buy / (1 - margin). Unit sell (local) = unit sell (USD) x FX rate, rounded.</t>
  </si>
  <si>
    <t xml:space="preserve">3. Storage-bearing SKUs exist in G1 and G2 variants; choose the SKU that matches the data center in the proposal.</t>
  </si>
  <si>
    <t xml:space="preserve">4. The Tier analysis sheet shows this quote's buy cost at every commitment tier.</t>
  </si>
  <si>
    <t xml:space="preserve">5. Nothing in this workbook is customer-facing except the Summary sheet.</t>
  </si>
  <si>
    <t xml:space="preserve">Acronis price list — partner buy prices, USD per unit per month</t>
  </si>
  <si>
    <t xml:space="preserve">Source: Acronis Cyber Cloud Calculator C26.09 (USD). Column O picks the price for the tier chosen in Inputs!B16.</t>
  </si>
  <si>
    <t xml:space="preserve">Licensing group</t>
  </si>
  <si>
    <t xml:space="preserve">Category</t>
  </si>
  <si>
    <t xml:space="preserve">DC group</t>
  </si>
  <si>
    <t xml:space="preserve">SKU code</t>
  </si>
  <si>
    <t xml:space="preserve">SKU name</t>
  </si>
  <si>
    <t xml:space="preserve">Tier 250</t>
  </si>
  <si>
    <t xml:space="preserve">Tier 500</t>
  </si>
  <si>
    <t xml:space="preserve">Tier 1,000</t>
  </si>
  <si>
    <t xml:space="preserve">Tier 2,000</t>
  </si>
  <si>
    <t xml:space="preserve">Tier 4,000</t>
  </si>
  <si>
    <t xml:space="preserve">Tier 7,000</t>
  </si>
  <si>
    <t xml:space="preserve">Tier 10,000</t>
  </si>
  <si>
    <t xml:space="preserve">Tier 15,000</t>
  </si>
  <si>
    <t xml:space="preserve">Price at selected tier</t>
  </si>
  <si>
    <t xml:space="preserve">Commitment USD/month →</t>
  </si>
  <si>
    <t xml:space="preserve">Solution-based licensing</t>
  </si>
  <si>
    <t xml:space="preserve">Security + RMM</t>
  </si>
  <si>
    <t xml:space="preserve">All</t>
  </si>
  <si>
    <t xml:space="preserve">SESDMSENS</t>
  </si>
  <si>
    <t xml:space="preserve">Security + RMM - WL - Endpoint - Acronis Cyber Protect Cloud</t>
  </si>
  <si>
    <t xml:space="preserve">SESEMSENS</t>
  </si>
  <si>
    <t xml:space="preserve">Security + RMM - WL - Microsoft 365 seat - Acronis Cyber Protect Cloud</t>
  </si>
  <si>
    <t xml:space="preserve">SESFMSENS</t>
  </si>
  <si>
    <t xml:space="preserve">Security + RMM - WL - Google Workspace seat - Acronis Cyber Protect Cloud</t>
  </si>
  <si>
    <t xml:space="preserve">Backup and Disaster Recovery</t>
  </si>
  <si>
    <t xml:space="preserve">G1</t>
  </si>
  <si>
    <t xml:space="preserve">SBDAMSENS</t>
  </si>
  <si>
    <t xml:space="preserve">BDR - WL - Server (3 TB of Acronis Hosted Storage included) - G1 - Acronis Cyber Protect Cloud</t>
  </si>
  <si>
    <t xml:space="preserve">SBDBMSENS</t>
  </si>
  <si>
    <t xml:space="preserve">BDR - WL - VM (2 TB of Acronis Hosted Storage included) - G1 - Acronis Cyber Protect Cloud</t>
  </si>
  <si>
    <t xml:space="preserve">SBDCMSENS</t>
  </si>
  <si>
    <t xml:space="preserve">BDR - WL - Workstation (300 GB of Acronis Hosted Storage included) - G1 - Acronis Cyber Protect Cloud</t>
  </si>
  <si>
    <t xml:space="preserve">SBDDMSENS</t>
  </si>
  <si>
    <t xml:space="preserve">BDR - WL - Microsoft 365 seat (unlimited Acronis Hosted Cloud Storage included1) - G1 - Acronis Cyber Protect Cloud</t>
  </si>
  <si>
    <t xml:space="preserve">SBDEMSENS</t>
  </si>
  <si>
    <t xml:space="preserve">BDR - WL - Google Workspace seat (unlimited Acronis Hosted Cloud Storage included1) - G1 - Acronis Cyber Protect Cloud</t>
  </si>
  <si>
    <t xml:space="preserve">SBDGMSENS</t>
  </si>
  <si>
    <t xml:space="preserve">BDR - WL - Mobile Backup (50 GB of Acronis Hosted Storage included) - G1 - Acronis Cyber Protect Cloud</t>
  </si>
  <si>
    <t xml:space="preserve">G2</t>
  </si>
  <si>
    <t xml:space="preserve">SBDHMSENS</t>
  </si>
  <si>
    <t xml:space="preserve">BDR - WL - Server (3 TB of Acronis Hosted Storage included) - G2 - Acronis Cyber Protect Cloud</t>
  </si>
  <si>
    <t xml:space="preserve">SBDIMSENS</t>
  </si>
  <si>
    <t xml:space="preserve">BDR - WL - VM (2 TB of Acronis Hosted Storage included) - G2 - Acronis Cyber Protect Cloud</t>
  </si>
  <si>
    <t xml:space="preserve">SBDJMSENS</t>
  </si>
  <si>
    <t xml:space="preserve">BDR - WL - Workstation (300 GB of Acronis Hosted Storage included) - G2 - Acronis Cyber Protect Cloud</t>
  </si>
  <si>
    <t xml:space="preserve">SBDKMSENS</t>
  </si>
  <si>
    <t xml:space="preserve">BDR - WL - Microsoft 365 seat (unlimited Acronis Hosted Cloud Storage included1) - G2 - Acronis Cyber Protect Cloud</t>
  </si>
  <si>
    <t xml:space="preserve">SBDLMSENS</t>
  </si>
  <si>
    <t xml:space="preserve">BDR - WL - Google Workspace seat (unlimited Acronis Hosted Cloud Storage included1) - G2 - Acronis Cyber Protect Cloud</t>
  </si>
  <si>
    <t xml:space="preserve">SBDNMSENS</t>
  </si>
  <si>
    <t xml:space="preserve">BDR - WL - Mobile Backup (50 GB of Acronis Hosted Storage included) - G2 - Acronis Cyber Protect Cloud</t>
  </si>
  <si>
    <t xml:space="preserve">Ultimate Protection</t>
  </si>
  <si>
    <t xml:space="preserve">SUPCMSENS</t>
  </si>
  <si>
    <t xml:space="preserve">Ultimate Protection - WL - Server (3 TB of Acronis Hosted Storage included) - G1 - Acronis Cyber Protect Cloud</t>
  </si>
  <si>
    <t xml:space="preserve">SUPDMSENS</t>
  </si>
  <si>
    <t xml:space="preserve">Ultimate Protection - WL - VM (2 TB of Acronis Hosted Storage included) - G1 - Acronis Cyber Protect Cloud</t>
  </si>
  <si>
    <t xml:space="preserve">SUPEMSENS</t>
  </si>
  <si>
    <t xml:space="preserve">Ultimate Protection - WL - Workstation (300 GB of Acronis Hosted Storage included) - G1 - Acronis Cyber Protect Cloud</t>
  </si>
  <si>
    <t xml:space="preserve">SUPFMSENS</t>
  </si>
  <si>
    <t xml:space="preserve">Ultimate Protection - WL - Microsoft 365 seat (unlimited Acronis Hosted Cloud Storage included1) - G1 - Acronis Cyber Protect Cloud</t>
  </si>
  <si>
    <t xml:space="preserve">SUPGMSENS</t>
  </si>
  <si>
    <t xml:space="preserve">Ultimate Protection - WL - Google Workspace seat (unlimited Acronis Hosted Cloud Storage included1) - G1 - Acronis Cyber Protect Cloud</t>
  </si>
  <si>
    <t xml:space="preserve">SUPHMSENS</t>
  </si>
  <si>
    <t xml:space="preserve">Ultimate Protection - WL - Server (3 TB of Acronis Hosted Storage included) - G2 - Acronis Cyber Protect Cloud</t>
  </si>
  <si>
    <t xml:space="preserve">SUPIMSENS</t>
  </si>
  <si>
    <t xml:space="preserve">Ultimate Protection - WL - VM (2 TB of Acronis Hosted Storage included) - G2 - Acronis Cyber Protect Cloud</t>
  </si>
  <si>
    <t xml:space="preserve">SUPJMSENS</t>
  </si>
  <si>
    <t xml:space="preserve">Ultimate Protection - WL - Workstation (300 GB of Acronis Hosted Storage included) - G2 - Acronis Cyber Protect Cloud</t>
  </si>
  <si>
    <t xml:space="preserve">SUPKMSENS</t>
  </si>
  <si>
    <t xml:space="preserve">Ultimate Protection - WL - Microsoft 365 seat (unlimited Acronis Hosted Cloud Storage included1) - G2 - Acronis Cyber Protect Cloud</t>
  </si>
  <si>
    <t xml:space="preserve">SUPLMSENS</t>
  </si>
  <si>
    <t xml:space="preserve">Ultimate Protection - WL - Google Workspace seat (unlimited Acronis Hosted Cloud Storage included1) - G2 - Acronis Cyber Protect Cloud</t>
  </si>
  <si>
    <t xml:space="preserve">Managed Detection and Response</t>
  </si>
  <si>
    <t xml:space="preserve">SRS8MSENS</t>
  </si>
  <si>
    <t xml:space="preserve">Solution-based Licensing - WL - Managed Detection and Response by Acronis TRU - Partner-level - Standard - Acronis Cyber Protect Cloud</t>
  </si>
  <si>
    <t xml:space="preserve">SRS9MSENS</t>
  </si>
  <si>
    <t xml:space="preserve">Solution-based Licensing - WL - Managed Detection and Response by Acronis TRU - Partner-level - Advanced - Acronis Cyber Protect Cloud</t>
  </si>
  <si>
    <t xml:space="preserve">SRSVMSENS</t>
  </si>
  <si>
    <t xml:space="preserve">Solution-based Licensing - WL - Managed Detection and Response by Acronis TRU - Customer-level - Standard - Acronis Cyber Protect Cloud</t>
  </si>
  <si>
    <t xml:space="preserve">SRSWMSENS</t>
  </si>
  <si>
    <t xml:space="preserve">Solution-based Licensing - WL - Managed Detection and Response by Acronis TRU - Customer-level - Advanced - Acronis Cyber Protect Cloud</t>
  </si>
  <si>
    <t xml:space="preserve">SRS6MSENS</t>
  </si>
  <si>
    <t xml:space="preserve">Solution-based Licensing - WL - Managed Detection and Response - 3rd party - Standard - Acronis Cyber Protect Cloud</t>
  </si>
  <si>
    <t xml:space="preserve">SRS7MSENS</t>
  </si>
  <si>
    <t xml:space="preserve">Solution-based Licensing - WL - Managed Detection and Response - 3rd party - Advanced - Acronis Cyber Protect Cloud</t>
  </si>
  <si>
    <t xml:space="preserve">Security Awareness Training</t>
  </si>
  <si>
    <t xml:space="preserve">SBSTFNLOS</t>
  </si>
  <si>
    <t xml:space="preserve">Solution-based Licensing - Security Awareness Training (per user) - Acronis Cyber Protect Cloud</t>
  </si>
  <si>
    <t xml:space="preserve">Additional Storage</t>
  </si>
  <si>
    <t xml:space="preserve">SPSAMSENS</t>
  </si>
  <si>
    <t xml:space="preserve">Solution-based Licensing - Acronis Hosted Storage (per GB) - G1 - Acronis Cyber Protect Cloud</t>
  </si>
  <si>
    <t xml:space="preserve">SPS2MSENS</t>
  </si>
  <si>
    <t xml:space="preserve">Solution-based Licensing - Acronis Hosted Storage (per GB) - G2 - Acronis Cyber Protect Cloud</t>
  </si>
  <si>
    <t xml:space="preserve">Geo-Replication</t>
  </si>
  <si>
    <t xml:space="preserve">SPSGMSENS</t>
  </si>
  <si>
    <t xml:space="preserve">Solution-based Licensing - Geo-redundant - GB - Acronis Hosted Storage - G1 - Acronis Cyber Protect Cloud 4</t>
  </si>
  <si>
    <t xml:space="preserve">SRSGMSENS</t>
  </si>
  <si>
    <t xml:space="preserve">Solution-based Licensing - Geo-redundant - WL - Microsoft 365 seat (unlimited Acronis Hosted Cloud storage1) - G1 - Acronis Cyber Protect Cloud 4</t>
  </si>
  <si>
    <t xml:space="preserve">SQSGMSENS</t>
  </si>
  <si>
    <t xml:space="preserve">Solution-based Licensing - Geo-redundant - WL - Google Workspace seat (unlimited Acronis Hosted Cloud storage1) - G1 - Acronis Cyber Protect Cloud 4</t>
  </si>
  <si>
    <t xml:space="preserve">Disaster Recovery Infrastructure</t>
  </si>
  <si>
    <t xml:space="preserve">SQSAMSENS</t>
  </si>
  <si>
    <t xml:space="preserve">Solution-based Licensing - Disaster Recovery - Acronis Hosted - 1 compute point (per running hour) - Acronis Cyber Protect Cloud</t>
  </si>
  <si>
    <t xml:space="preserve">SQSBMSENS</t>
  </si>
  <si>
    <t xml:space="preserve">Solution-based Licensing - Disaster Recovery - Acronis Hosted Public IP address - Acronis Cyber Protect Cloud</t>
  </si>
  <si>
    <t xml:space="preserve">Service-based licensing</t>
  </si>
  <si>
    <t xml:space="preserve">Endpoint Security</t>
  </si>
  <si>
    <t xml:space="preserve">SRIAMSENS</t>
  </si>
  <si>
    <t xml:space="preserve">Endpoint Detection and Response (EDR) - WL - Acronis Cyber Protect Cloud</t>
  </si>
  <si>
    <t xml:space="preserve">SRXAMSENS</t>
  </si>
  <si>
    <t xml:space="preserve">Extended Detection and Response (XDR) - WL - Acronis Cyber Protect Cloud</t>
  </si>
  <si>
    <t xml:space="preserve">SRI8MSENS</t>
  </si>
  <si>
    <t xml:space="preserve">Managed Detection and Response (MDR) by Acronis TRU - Partner-level - Standard - WL - Acronis Cyber Protect Cloud</t>
  </si>
  <si>
    <t xml:space="preserve">SRI9MSENS</t>
  </si>
  <si>
    <t xml:space="preserve">Managed Detection and Response (MDR) by Acronis TRU - Partner-level - Advanced - WL - Acronis Cyber Protect Cloud</t>
  </si>
  <si>
    <t xml:space="preserve">SRIVMSENS</t>
  </si>
  <si>
    <t xml:space="preserve">Managed Detection and Response (MDR) by Acronis TRU - Customer-level - Standard - WL - Acronis Cyber Protect Cloud</t>
  </si>
  <si>
    <t xml:space="preserve">SRIWMSENS</t>
  </si>
  <si>
    <t xml:space="preserve">Managed Detection and Response (MDR) by Acronis TRU - Customer-level - Advanced - WL - Acronis Cyber Protect Cloud</t>
  </si>
  <si>
    <t xml:space="preserve">SRI6MSENS</t>
  </si>
  <si>
    <t xml:space="preserve">Managed Detection and Response (MDR) - 3rd party - Standard - WL - Acronis Cyber Protect Cloud</t>
  </si>
  <si>
    <t xml:space="preserve">SRI7MSENS</t>
  </si>
  <si>
    <t xml:space="preserve">Managed Detection and Response (MDR) - 3rd party - Advanced - WL - Acronis Cyber Protect Cloud</t>
  </si>
  <si>
    <t xml:space="preserve">SRIUMSENS</t>
  </si>
  <si>
    <t xml:space="preserve">GenAI Protection - WL - Acronis Cyber Protect Cloud</t>
  </si>
  <si>
    <t xml:space="preserve">SRI5MSENS</t>
  </si>
  <si>
    <t xml:space="preserve">Data Loss Prevention (DLP) - Endpoint - Acronis Cyber Protect Cloud</t>
  </si>
  <si>
    <t xml:space="preserve">M365 and SaaS Security</t>
  </si>
  <si>
    <t xml:space="preserve">SO4AMSENS</t>
  </si>
  <si>
    <t xml:space="preserve">Email Security - User - Acronis Cyber Protect Cloud</t>
  </si>
  <si>
    <t xml:space="preserve">SO6AMSENS</t>
  </si>
  <si>
    <t xml:space="preserve">Collaboration Security for Microsoft 365 - User - Acronis Cyber Protect Cloud</t>
  </si>
  <si>
    <t xml:space="preserve">SRMAMSENS</t>
  </si>
  <si>
    <t xml:space="preserve">Security Posture Management - Microsoft 365 seat - Acronis Cyber Protect Cloud</t>
  </si>
  <si>
    <t xml:space="preserve">SBATFNLOS</t>
  </si>
  <si>
    <t xml:space="preserve">Security Awareness Training - User - Acronis Cyber Protect Cloud</t>
  </si>
  <si>
    <t xml:space="preserve">Remote Monitoring and Management</t>
  </si>
  <si>
    <t xml:space="preserve">SRHAMSENS</t>
  </si>
  <si>
    <t xml:space="preserve">Remote Monitoring and Management (RMM) - Endpoint - Acronis Cyber Protect Cloud</t>
  </si>
  <si>
    <t xml:space="preserve">Professional Services Automation</t>
  </si>
  <si>
    <t xml:space="preserve">SQACMSENS</t>
  </si>
  <si>
    <t xml:space="preserve">Professional Services Automation (PSA) - User - Acronis Cyber Protect Cloud</t>
  </si>
  <si>
    <t xml:space="preserve">Backup</t>
  </si>
  <si>
    <t xml:space="preserve">SPEAMSENS</t>
  </si>
  <si>
    <t xml:space="preserve">Backup - WL - Server - Acronis Cyber Protect Cloud</t>
  </si>
  <si>
    <t xml:space="preserve">SPD5MSENS</t>
  </si>
  <si>
    <t xml:space="preserve">Backup - WL - NAS - Acronis Cyber Protect Cloud</t>
  </si>
  <si>
    <t xml:space="preserve">SPFAMSENS</t>
  </si>
  <si>
    <t xml:space="preserve">Backup - WL - VM - Acronis Cyber Protect Cloud</t>
  </si>
  <si>
    <t xml:space="preserve">SPGAMSENS</t>
  </si>
  <si>
    <t xml:space="preserve">Backup - WL - Workstation - Acronis Cyber Protect Cloud</t>
  </si>
  <si>
    <t xml:space="preserve">SQ7AMSENS</t>
  </si>
  <si>
    <t xml:space="preserve">Backup - WL - Hosting Server - Acronis Cyber Protect Cloud</t>
  </si>
  <si>
    <t xml:space="preserve">SRJAMSENS</t>
  </si>
  <si>
    <t xml:space="preserve">Backup - WL - Microsoft 365 seat (with unlimited Acronis Hosted Cloud storage1) - G1 - Acronis Cyber Protect Cloud</t>
  </si>
  <si>
    <t xml:space="preserve">SRJ2MSENS</t>
  </si>
  <si>
    <t xml:space="preserve">Backup - WL - Microsoft 365 seat (with unlimited Acronis Hosted Cloud storage1) - G2 - Acronis Cyber Protect Cloud</t>
  </si>
  <si>
    <t xml:space="preserve">SRAAMSENS</t>
  </si>
  <si>
    <t xml:space="preserve">Backup - WL - Microsoft 365 seat (for SP/Customer/Azure/Google Hosted storage) - Acronis Cyber Protect Cloud</t>
  </si>
  <si>
    <t xml:space="preserve">SRJEMSENS</t>
  </si>
  <si>
    <t xml:space="preserve">Backup - WL - Microsoft Entra ID seat (with unlimited Acronis Hosted Cloud storage1) - Acronis Cyber Protect Cloud2</t>
  </si>
  <si>
    <t xml:space="preserve">SRAEMSENS</t>
  </si>
  <si>
    <t xml:space="preserve">Backup - WL - Microsoft Entra ID seat (for SP/Azure/Google Hosted storage) - Acronis Cyber Protect Cloud2</t>
  </si>
  <si>
    <t xml:space="preserve">SQ8AMSENS</t>
  </si>
  <si>
    <t xml:space="preserve">Backup - WL - Google Workspace seat (with unlimited Acronis Hosted Cloud storage1) - G1 - Acronis Cyber Protect Cloud</t>
  </si>
  <si>
    <t xml:space="preserve">SQ82MSENS</t>
  </si>
  <si>
    <t xml:space="preserve">Backup - WL - Google Workspace seat (with unlimited Acronis Hosted Cloud storage1) - G2 - Acronis Cyber Protect Cloud</t>
  </si>
  <si>
    <t xml:space="preserve">SQBPMSENS</t>
  </si>
  <si>
    <t xml:space="preserve">Backup - WL - Google Workspace seat (for SP/Azure/Google Hosted storage) - Acronis Cyber Protect Cloud</t>
  </si>
  <si>
    <t xml:space="preserve">SRBAMSENS</t>
  </si>
  <si>
    <t xml:space="preserve">Backup - WL - Mobile - Acronis Cyber Protect Cloud</t>
  </si>
  <si>
    <t xml:space="preserve">SPDAMSENS</t>
  </si>
  <si>
    <t xml:space="preserve">Backup - WL - Acronis Hosted Storage for per Workload model (per GB) - G1 - Acronis Cyber Protect Cloud</t>
  </si>
  <si>
    <t xml:space="preserve">SPD2MSENS</t>
  </si>
  <si>
    <t xml:space="preserve">Backup - WL - Acronis Hosted Storage for per Workload model (per GB) - G2 - Acronis Cyber Protect Cloud</t>
  </si>
  <si>
    <t xml:space="preserve">SPXAMSENS</t>
  </si>
  <si>
    <t xml:space="preserve">Backup - WL - Google Hosted Storage for per Workload model (per GB) - Acronis Cyber Protect Cloud</t>
  </si>
  <si>
    <t xml:space="preserve">SQ1AMSENS</t>
  </si>
  <si>
    <t xml:space="preserve">Backup - WL - Azure Hosted Storage for per Workload model (per GB) - Acronis Cyber Protect Cloud</t>
  </si>
  <si>
    <t xml:space="preserve">SPBAMSENS</t>
  </si>
  <si>
    <t xml:space="preserve">Backup - GB - Acronis Hosted Storage (per GB) - G1 - Acronis Cyber Protect Cloud</t>
  </si>
  <si>
    <t xml:space="preserve">SPB2MSENS</t>
  </si>
  <si>
    <t xml:space="preserve">Backup - GB - Acronis Hosted Storage (per GB) - G2 - Acronis Cyber Protect Cloud</t>
  </si>
  <si>
    <t xml:space="preserve">SP3AMSENS</t>
  </si>
  <si>
    <t xml:space="preserve">Backup - GB - Google Hosted Storage (per GB) - Acronis Cyber Protect Cloud</t>
  </si>
  <si>
    <t xml:space="preserve">SQ2AMSENS</t>
  </si>
  <si>
    <t xml:space="preserve">Backup - GB - Azure Hosted Storage (per GB) - Acronis Cyber Protect Cloud</t>
  </si>
  <si>
    <t xml:space="preserve">SPBBMSENS</t>
  </si>
  <si>
    <t xml:space="preserve">Backup - GB - Partner Storage (per GB) - Acronis Cyber Protect Cloud</t>
  </si>
  <si>
    <t xml:space="preserve">SP4BMSENS</t>
  </si>
  <si>
    <t xml:space="preserve">Backup - GB - Customer Storage (per GB) - Acronis Cyber Protect Cloud</t>
  </si>
  <si>
    <t xml:space="preserve">SPZBMSENS</t>
  </si>
  <si>
    <t xml:space="preserve">Backup - GB – Microsoft 365 Backup Storage (per GB) – Microsoft 365 Backup (powered by Microsoft)</t>
  </si>
  <si>
    <t xml:space="preserve">SP5AMSENS</t>
  </si>
  <si>
    <t xml:space="preserve">Backup - Geo-redundant - GB/WL - Acronis Hosted Storage - G1 - Acronis Cyber Protect Cloud 4</t>
  </si>
  <si>
    <t xml:space="preserve">SRJGMSENS</t>
  </si>
  <si>
    <t xml:space="preserve">Backup - Geo-redundant - WL - Microsoft 365 seat (with unlimited Acronis Hosted Cloud storage1) - G1 - Acronis Cyber Protect Cloud 4</t>
  </si>
  <si>
    <t xml:space="preserve">SQBGMSENS</t>
  </si>
  <si>
    <t xml:space="preserve">Backup - Geo-redundant - WL - Google Workspace seat (with unlimited Acronis Hosted Cloud storage1) - G1 - Acronis Cyber Protect Cloud 4</t>
  </si>
  <si>
    <t xml:space="preserve">SRDUMSENS</t>
  </si>
  <si>
    <t xml:space="preserve">Direct Backup to Public Cloud - WL - Server - Acronis Cyber Protect Cloud</t>
  </si>
  <si>
    <t xml:space="preserve">SREUMSENS</t>
  </si>
  <si>
    <t xml:space="preserve">Direct Backup to Public Cloud - WL - VM - Acronis Cyber Protect Cloud</t>
  </si>
  <si>
    <t xml:space="preserve">SRFUMSENS</t>
  </si>
  <si>
    <t xml:space="preserve">Direct Backup to Public Cloud - WL - Workstation - Acronis Cyber Protect Cloud</t>
  </si>
  <si>
    <t xml:space="preserve">SRGUMSENS</t>
  </si>
  <si>
    <t xml:space="preserve">Direct Backup to Public Cloud - WL - Hosting Server - Acronis Cyber Protect Cloud</t>
  </si>
  <si>
    <t xml:space="preserve">Disaster Recovery</t>
  </si>
  <si>
    <t xml:space="preserve">SVEAMSENS</t>
  </si>
  <si>
    <t xml:space="preserve">Disaster Recovery - GB - Acronis Hosted Storage (per GB) - G1 - Acronis Cyber Protect Cloud</t>
  </si>
  <si>
    <t xml:space="preserve">SVE2MSENS</t>
  </si>
  <si>
    <t xml:space="preserve">Disaster Recovery - GB - Acronis Hosted Storage (per GB) - G2 - Acronis Cyber Protect Cloud</t>
  </si>
  <si>
    <t xml:space="preserve">SVFAMSENS</t>
  </si>
  <si>
    <t xml:space="preserve">Disaster Recovery - GB - Partner Storage (per GB) - Acronis Cyber Protect Cloud</t>
  </si>
  <si>
    <t xml:space="preserve">SQYAMSENS</t>
  </si>
  <si>
    <t xml:space="preserve">Disaster Recovery - GB - Acronis Hosted - 1 compute point (per running hour) - Acronis Cyber Protect Cloud</t>
  </si>
  <si>
    <t xml:space="preserve">SEDAMSENS</t>
  </si>
  <si>
    <t xml:space="preserve">Disaster Recovery - GB - Acronis Hosted Public IP address - Acronis Cyber Protect Cloud</t>
  </si>
  <si>
    <t xml:space="preserve">SEHAMSENS</t>
  </si>
  <si>
    <t xml:space="preserve">Disaster Recovery – WL - DR and Direct Backup to Azure - Acronis Cyber Protect Cloud</t>
  </si>
  <si>
    <t xml:space="preserve">Email Archiving</t>
  </si>
  <si>
    <t xml:space="preserve">SHJAMSENS</t>
  </si>
  <si>
    <t xml:space="preserve">Email Archiving - WL - Microsoft 365 seat (with unlimited Acronis Hosted Cloud storage1) - G1 - Acronis Cyber Protect Cloud</t>
  </si>
  <si>
    <t xml:space="preserve">SHJ2MSENS</t>
  </si>
  <si>
    <t xml:space="preserve">Email Archiving - WL - Microsoft 365 seat (with unlimited Acronis Hosted Cloud storage1) - G2 - Acronis Cyber Protect Cloud</t>
  </si>
  <si>
    <t xml:space="preserve">SHAAMSENS</t>
  </si>
  <si>
    <t xml:space="preserve">Email Archiving - WL - Microsoft 365 seat (for SP/Azure/Google Hosted storage) - Acronis Cyber Protect Cloud</t>
  </si>
  <si>
    <t xml:space="preserve">SHXAMSENS</t>
  </si>
  <si>
    <t xml:space="preserve">Email Archiving - WL - Google Hosted Storage for per Workload model (per GB) - Acronis Cyber Protect Cloud</t>
  </si>
  <si>
    <t xml:space="preserve">SH1AMSENS</t>
  </si>
  <si>
    <t xml:space="preserve">Email Archiving - WL - Azure Hosted Storage for per Workload model (per GB) - Acronis Cyber Protect Cloud</t>
  </si>
  <si>
    <t xml:space="preserve">SHBAMSENS</t>
  </si>
  <si>
    <t xml:space="preserve">Email Archiving - GB - Acronis Hosted Storage (per GB) - G1 - Acronis Cyber Protect Cloud</t>
  </si>
  <si>
    <t xml:space="preserve">SHB2MSENS</t>
  </si>
  <si>
    <t xml:space="preserve">Email Archiving - GB - Acronis Hosted Storage (per GB) - G2 - Acronis Cyber Protect Cloud</t>
  </si>
  <si>
    <t xml:space="preserve">SHBBMSENS</t>
  </si>
  <si>
    <t xml:space="preserve">Email Archiving - GB - Partner Storage (per GB) - Acronis Cyber Protect Cloud</t>
  </si>
  <si>
    <t xml:space="preserve">SH3AMSENS</t>
  </si>
  <si>
    <t xml:space="preserve">Email Archiving - GB - Google Hosted Storage (per GB) - Acronis Cyber Protect Cloud</t>
  </si>
  <si>
    <t xml:space="preserve">SH2AMSENS</t>
  </si>
  <si>
    <t xml:space="preserve">Email Archiving - GB - Azure Hosted Storage (per GB) - Acronis Cyber Protect Cloud</t>
  </si>
  <si>
    <t xml:space="preserve">Cyber Frame</t>
  </si>
  <si>
    <t xml:space="preserve">SFLAMSENS</t>
  </si>
  <si>
    <t xml:space="preserve">Cyber Frame Local - 1 Physical CPU Core - Acronis Cyber Protect Cloud</t>
  </si>
  <si>
    <t xml:space="preserve">SFCAMSENS</t>
  </si>
  <si>
    <t xml:space="preserve">Cyber Frame Cloud - vCPU, consumed vCPU, per month3 - Acronis Cyber Protect Cloud 4</t>
  </si>
  <si>
    <t xml:space="preserve">SFCRMSENS</t>
  </si>
  <si>
    <t xml:space="preserve">Cyber Frame Cloud - RAM, consumed GB, per month3 - Acronis Cyber Protect Cloud 4</t>
  </si>
  <si>
    <t xml:space="preserve">SFCHMSENS</t>
  </si>
  <si>
    <t xml:space="preserve">Cyber Frame Cloud - Block Storage, consumed GB, per month3 - Acronis Cyber Protect Cloud 4</t>
  </si>
  <si>
    <t xml:space="preserve">SFCIMSENS</t>
  </si>
  <si>
    <t xml:space="preserve">Cyber Frame Cloud - Public Floating IPv4, allocated IP addresses, per month3 - Acronis Cyber Protect Cloud 4</t>
  </si>
  <si>
    <t xml:space="preserve">SFCWMSENS</t>
  </si>
  <si>
    <t xml:space="preserve">Cyber Frame Cloud - Windows Server License, per licensed vCPU, per month3 - Acronis Cyber Protect Cloud 4</t>
  </si>
  <si>
    <t xml:space="preserve">Cyber Workspace</t>
  </si>
  <si>
    <t xml:space="preserve">SWWAMSENS</t>
  </si>
  <si>
    <t xml:space="preserve">Cyber Workspace - Cyber Employee - Agent - Acronis Cyber Protect Cloud 4</t>
  </si>
  <si>
    <t xml:space="preserve">SWWBMSENS</t>
  </si>
  <si>
    <t xml:space="preserve">Cyber Workspace - Cyber Employee - Usage Unit - Acronis Cyber Protect Cloud 4</t>
  </si>
  <si>
    <t xml:space="preserve">Files Sync &amp; Share</t>
  </si>
  <si>
    <t xml:space="preserve">SPIAMSENS</t>
  </si>
  <si>
    <t xml:space="preserve">Files Sync &amp; Share - User (per user) - Acronis Cyber Files Cloud</t>
  </si>
  <si>
    <t xml:space="preserve">SUVAMSENS</t>
  </si>
  <si>
    <t xml:space="preserve">Files Sync &amp; Share - User - Acronis Hosted Storage (per GB) - G1 - Acronis Cyber Files Cloud</t>
  </si>
  <si>
    <t xml:space="preserve">SUV2MSENS</t>
  </si>
  <si>
    <t xml:space="preserve">Files Sync &amp; Share - User - Acronis Hosted Storage (per GB) - G2 - Acronis Cyber Files Cloud</t>
  </si>
  <si>
    <t xml:space="preserve">SP1AMSENS</t>
  </si>
  <si>
    <t xml:space="preserve">Files Sync &amp; Share - GB - Acronis Hosted Storage (per GB) - G1 - Acronis Cyber Files Cloud</t>
  </si>
  <si>
    <t xml:space="preserve">SP12MSENS</t>
  </si>
  <si>
    <t xml:space="preserve">Files Sync &amp; Share - GB - Acronis Hosted Storage (per GB) - G2 - Acronis Cyber Files Cloud</t>
  </si>
  <si>
    <t xml:space="preserve">SP2AMSENS</t>
  </si>
  <si>
    <t xml:space="preserve">Files Sync &amp; Share - GB - Partner Storage (per GB) - Acronis Cyber Files Cloud</t>
  </si>
  <si>
    <t xml:space="preserve">Physical Data Shipping</t>
  </si>
  <si>
    <t xml:space="preserve">SEGAMSENS</t>
  </si>
  <si>
    <t xml:space="preserve">Physical Data Shipping to Cloud, 1 disk - Acronis Cyber Protect Cloud</t>
  </si>
  <si>
    <t xml:space="preserve">Cyber Infrastructure</t>
  </si>
  <si>
    <t xml:space="preserve">SCVAMSENS</t>
  </si>
  <si>
    <t xml:space="preserve">SPLA - Acronis Cyber Infrastructure (per GB)</t>
  </si>
  <si>
    <t xml:space="preserve">Quote builder (internal)</t>
  </si>
  <si>
    <t xml:space="preserve">Customer:</t>
  </si>
  <si>
    <t xml:space="preserve">Currency:</t>
  </si>
  <si>
    <t xml:space="preserve">FX rate:</t>
  </si>
  <si>
    <t xml:space="preserve">Tier:</t>
  </si>
  <si>
    <t xml:space="preserve">Pick a SKU name from the dropdown in column B and enter the quantity in column F. Override the margin in column J only when the deal needs it.</t>
  </si>
  <si>
    <t xml:space="preserve">#</t>
  </si>
  <si>
    <t xml:space="preserve">Quantity</t>
  </si>
  <si>
    <t xml:space="preserve">Unit buy (USD)</t>
  </si>
  <si>
    <t xml:space="preserve">Default margin</t>
  </si>
  <si>
    <t xml:space="preserve">Margin override</t>
  </si>
  <si>
    <t xml:space="preserve">Margin used</t>
  </si>
  <si>
    <t xml:space="preserve">Unit sell (USD)</t>
  </si>
  <si>
    <t xml:space="preserve">Unit sell (local)</t>
  </si>
  <si>
    <t xml:space="preserve">Monthly buy (USD)</t>
  </si>
  <si>
    <t xml:space="preserve">Monthly sell (local)</t>
  </si>
  <si>
    <t xml:space="preserve">Annual sell (local)</t>
  </si>
  <si>
    <t xml:space="preserve">Totals</t>
  </si>
  <si>
    <t xml:space="preserve">Platform subtotal, monthly buy (USD)</t>
  </si>
  <si>
    <t xml:space="preserve">Platform subtotal, monthly buy (local)</t>
  </si>
  <si>
    <t xml:space="preserve">Platform subtotal, monthly sell (local)</t>
  </si>
  <si>
    <t xml:space="preserve">Protected workloads and seats (excludes storage lines)</t>
  </si>
  <si>
    <t xml:space="preserve">Managed service fee, monthly (local)</t>
  </si>
  <si>
    <t xml:space="preserve">Monthly total excluding VAT (local)</t>
  </si>
  <si>
    <t xml:space="preserve">VAT (local)</t>
  </si>
  <si>
    <t xml:space="preserve">Monthly total including VAT (local)</t>
  </si>
  <si>
    <t xml:space="preserve">Annual total excluding VAT (local)</t>
  </si>
  <si>
    <t xml:space="preserve">Contract value excluding VAT (local)</t>
  </si>
  <si>
    <t xml:space="preserve">One-time services excluding VAT (local)</t>
  </si>
  <si>
    <t xml:space="preserve">Monthly gross profit on platform (local)</t>
  </si>
  <si>
    <t xml:space="preserve">Blended platform margin</t>
  </si>
  <si>
    <t xml:space="preserve">Monthly gross profit including managed service (local)</t>
  </si>
  <si>
    <t xml:space="preserve">Gross profit here is sell minus Acronis buy; it excludes Next Step delivery cost and the difference between the commitment tier and actual portfolio consumption.</t>
  </si>
  <si>
    <t xml:space="preserve">This quote's Acronis buy cost at every commitment tier (USD per month)</t>
  </si>
  <si>
    <t xml:space="preserve">Shows what the same quantities cost Next Step at each tier. The tier applies to the whole Next Step portfolio; use this to judge whether a deal justifies moving up a tier.</t>
  </si>
  <si>
    <t xml:space="preserve">Commitment →</t>
  </si>
  <si>
    <t xml:space="preserve">Monthly buy cost of this quote (USD)</t>
  </si>
  <si>
    <t xml:space="preserve">Saving versus selected tier (USD per month)</t>
  </si>
  <si>
    <t xml:space="preserve">Saving versus selected tier (%)</t>
  </si>
  <si>
    <t xml:space="preserve">Selected tier?</t>
  </si>
  <si>
    <t xml:space="preserve">Commercial summary — for the proposal</t>
  </si>
  <si>
    <t xml:space="preserve">Line</t>
  </si>
  <si>
    <t xml:space="preserve">Unit price per month</t>
  </si>
  <si>
    <t xml:space="preserve">Monthly total</t>
  </si>
  <si>
    <t xml:space="preserve">Managed service: operations, monitoring, restore tests, monthly report</t>
  </si>
  <si>
    <t xml:space="preserve">Monthly subtotal excluding VAT</t>
  </si>
  <si>
    <t xml:space="preserve">VAT</t>
  </si>
  <si>
    <t xml:space="preserve">Monthly total including VAT</t>
  </si>
  <si>
    <t xml:space="preserve">Annual equivalent excluding VAT</t>
  </si>
  <si>
    <t xml:space="preserve">One-time services excluding VAT</t>
  </si>
  <si>
    <t xml:space="preserve">Prices are per unit per month in the stated currency, billed monthly in advance, quantities reconciled quarterly, storage beyond included quotas billed per GB per month as listed.</t>
  </si>
  <si>
    <t xml:space="preserve">Acronis data centers and storage groups (from the calculator)</t>
  </si>
  <si>
    <t xml:space="preserve">Group</t>
  </si>
  <si>
    <t xml:space="preserve">Country</t>
  </si>
  <si>
    <t xml:space="preserve">Data center</t>
  </si>
  <si>
    <t xml:space="preserve">Geo-redundancy</t>
  </si>
  <si>
    <t xml:space="preserve">Cyber Employee</t>
  </si>
  <si>
    <t xml:space="preserve">Cyber Frame Cloud</t>
  </si>
  <si>
    <t xml:space="preserve">USA</t>
  </si>
  <si>
    <t xml:space="preserve">Phoenix</t>
  </si>
  <si>
    <t xml:space="preserve">Yes</t>
  </si>
  <si>
    <t xml:space="preserve">Ashburn</t>
  </si>
  <si>
    <t xml:space="preserve">Germany</t>
  </si>
  <si>
    <t xml:space="preserve">Frankfurt</t>
  </si>
  <si>
    <t xml:space="preserve">Switzerland</t>
  </si>
  <si>
    <t xml:space="preserve">Lupfig</t>
  </si>
  <si>
    <t xml:space="preserve">UK</t>
  </si>
  <si>
    <t xml:space="preserve">London</t>
  </si>
  <si>
    <t xml:space="preserve">Japan</t>
  </si>
  <si>
    <t xml:space="preserve">Nagano</t>
  </si>
  <si>
    <t xml:space="preserve">Kanagawa</t>
  </si>
  <si>
    <t xml:space="preserve">Cologne</t>
  </si>
  <si>
    <t xml:space="preserve">France</t>
  </si>
  <si>
    <t xml:space="preserve">Strasbourg</t>
  </si>
  <si>
    <t xml:space="preserve">St.Louis</t>
  </si>
  <si>
    <t xml:space="preserve">Singapore</t>
  </si>
  <si>
    <t xml:space="preserve">Australia</t>
  </si>
  <si>
    <t xml:space="preserve">Sydney</t>
  </si>
  <si>
    <t xml:space="preserve">Canada</t>
  </si>
  <si>
    <t xml:space="preserve">Vancouver</t>
  </si>
  <si>
    <t xml:space="preserve">Toronto</t>
  </si>
  <si>
    <t xml:space="preserve">New Zealand</t>
  </si>
  <si>
    <t xml:space="preserve">Auckland</t>
  </si>
  <si>
    <t xml:space="preserve">Liechtenstein</t>
  </si>
  <si>
    <t xml:space="preserve">Balzers</t>
  </si>
  <si>
    <t xml:space="preserve">Indonesia</t>
  </si>
  <si>
    <t xml:space="preserve">Jakarta</t>
  </si>
  <si>
    <t xml:space="preserve">India</t>
  </si>
  <si>
    <t xml:space="preserve">Mumbai</t>
  </si>
  <si>
    <t xml:space="preserve">Spain</t>
  </si>
  <si>
    <t xml:space="preserve">Valencia</t>
  </si>
  <si>
    <t xml:space="preserve">Israel</t>
  </si>
  <si>
    <t xml:space="preserve">Tel Aviv</t>
  </si>
  <si>
    <t xml:space="preserve">Portugal</t>
  </si>
  <si>
    <t xml:space="preserve">Lisbon</t>
  </si>
  <si>
    <t xml:space="preserve">Korea</t>
  </si>
  <si>
    <t xml:space="preserve">Seoul</t>
  </si>
  <si>
    <t xml:space="preserve">Czech Republic</t>
  </si>
  <si>
    <t xml:space="preserve">Prague</t>
  </si>
  <si>
    <t xml:space="preserve">Greece</t>
  </si>
  <si>
    <t xml:space="preserve">Thessaloniki</t>
  </si>
  <si>
    <t xml:space="preserve">Brazil</t>
  </si>
  <si>
    <t xml:space="preserve">Sao Paulo</t>
  </si>
  <si>
    <t xml:space="preserve">Poland</t>
  </si>
  <si>
    <t xml:space="preserve">Warsaw</t>
  </si>
  <si>
    <t xml:space="preserve">Austria</t>
  </si>
  <si>
    <t xml:space="preserve">Vienna</t>
  </si>
  <si>
    <t xml:space="preserve">Denmark</t>
  </si>
  <si>
    <t xml:space="preserve">Billund</t>
  </si>
  <si>
    <t xml:space="preserve">Bulgaria</t>
  </si>
  <si>
    <t xml:space="preserve">Sofia</t>
  </si>
  <si>
    <t xml:space="preserve">Turkey</t>
  </si>
  <si>
    <t xml:space="preserve">Istanbul</t>
  </si>
  <si>
    <t xml:space="preserve">Norway</t>
  </si>
  <si>
    <t xml:space="preserve">Oslo</t>
  </si>
  <si>
    <t xml:space="preserve">Finland</t>
  </si>
  <si>
    <t xml:space="preserve">Helsinki</t>
  </si>
  <si>
    <t xml:space="preserve">Italy</t>
  </si>
  <si>
    <t xml:space="preserve">Rome</t>
  </si>
  <si>
    <t xml:space="preserve">Sweden</t>
  </si>
  <si>
    <t xml:space="preserve">Goteborg</t>
  </si>
  <si>
    <t xml:space="preserve">Mexico</t>
  </si>
  <si>
    <t xml:space="preserve">Mexico City</t>
  </si>
  <si>
    <t xml:space="preserve">Malaysia</t>
  </si>
  <si>
    <t xml:space="preserve">Kuala Lumpur</t>
  </si>
  <si>
    <t xml:space="preserve">South Africa</t>
  </si>
  <si>
    <t xml:space="preserve">Johannesburg</t>
  </si>
  <si>
    <t xml:space="preserve">UAE</t>
  </si>
  <si>
    <t xml:space="preserve">Abu Dhabi</t>
  </si>
  <si>
    <t xml:space="preserve">Taiwan</t>
  </si>
  <si>
    <t xml:space="preserve">Taipei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</si>
</sst>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0.0%"/>
    <numFmt numFmtId="167" formatCode="#,##0"/>
    <numFmt numFmtId="168" formatCode="0"/>
    <numFmt numFmtId="169" formatCode="#,##0.00"/>
    <numFmt numFmtId="170" formatCode="#,##0.0000"/>
    <numFmt numFmtId="171" formatCode="#,##0.00;\(#,##0.00\);\-"/>
    <numFmt numFmtId="172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4737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14737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9"/>
      </left>
      <right style="thin">
        <color rgb="FFBFC5C9"/>
      </right>
      <top style="thin">
        <color rgb="FFBFC5C9"/>
      </top>
      <bottom style="thin">
        <color rgb="FFBFC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47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473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5" t="s">
        <v>3</v>
      </c>
      <c r="B5" s="2"/>
      <c r="C5" s="2"/>
    </row>
    <row r="6" customFormat="false" ht="15" hidden="false" customHeight="false" outlineLevel="0" collapsed="false">
      <c r="A6" s="6" t="s">
        <v>4</v>
      </c>
      <c r="B6" s="2"/>
      <c r="C6" s="2"/>
    </row>
    <row r="7" customFormat="false" ht="15" hidden="false" customHeight="false" outlineLevel="0" collapsed="false">
      <c r="A7" s="3" t="s">
        <v>5</v>
      </c>
      <c r="B7" s="2"/>
      <c r="C7" s="2"/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4" t="s">
        <v>6</v>
      </c>
      <c r="B9" s="2"/>
      <c r="C9" s="2"/>
    </row>
    <row r="10" customFormat="false" ht="15" hidden="false" customHeight="false" outlineLevel="0" collapsed="false">
      <c r="A10" s="3" t="s">
        <v>7</v>
      </c>
      <c r="B10" s="5" t="s">
        <v>8</v>
      </c>
      <c r="C10" s="2"/>
    </row>
    <row r="11" customFormat="false" ht="15" hidden="false" customHeight="false" outlineLevel="0" collapsed="false">
      <c r="A11" s="3" t="s">
        <v>9</v>
      </c>
      <c r="B11" s="6" t="s">
        <v>10</v>
      </c>
      <c r="C11" s="2"/>
    </row>
    <row r="12" customFormat="false" ht="15" hidden="false" customHeight="false" outlineLevel="0" collapsed="false">
      <c r="A12" s="3" t="s">
        <v>11</v>
      </c>
      <c r="B12" s="6" t="s">
        <v>12</v>
      </c>
      <c r="C12" s="2"/>
    </row>
    <row r="13" customFormat="false" ht="15" hidden="false" customHeight="false" outlineLevel="0" collapsed="false">
      <c r="A13" s="3" t="s">
        <v>13</v>
      </c>
      <c r="B13" s="5" t="s">
        <v>14</v>
      </c>
      <c r="C13" s="2"/>
    </row>
    <row r="14" customFormat="false" ht="15" hidden="false" customHeight="false" outlineLevel="0" collapsed="false">
      <c r="A14" s="3" t="s">
        <v>15</v>
      </c>
      <c r="B14" s="7" t="n">
        <v>3.75</v>
      </c>
      <c r="C14" s="2"/>
    </row>
    <row r="15" customFormat="false" ht="15" hidden="false" customHeight="false" outlineLevel="0" collapsed="false">
      <c r="A15" s="3" t="s">
        <v>16</v>
      </c>
      <c r="B15" s="8" t="n">
        <v>0.15</v>
      </c>
      <c r="C15" s="2"/>
    </row>
    <row r="16" customFormat="false" ht="15" hidden="false" customHeight="false" outlineLevel="0" collapsed="false">
      <c r="A16" s="3" t="s">
        <v>17</v>
      </c>
      <c r="B16" s="9" t="n">
        <v>1000</v>
      </c>
      <c r="C16" s="2"/>
    </row>
    <row r="17" customFormat="false" ht="15" hidden="false" customHeight="false" outlineLevel="0" collapsed="false">
      <c r="A17" s="3" t="s">
        <v>18</v>
      </c>
      <c r="B17" s="10" t="n">
        <v>12</v>
      </c>
      <c r="C17" s="2"/>
    </row>
    <row r="18" customFormat="false" ht="15" hidden="false" customHeight="false" outlineLevel="0" collapsed="false">
      <c r="A18" s="3" t="s">
        <v>19</v>
      </c>
      <c r="B18" s="10" t="n">
        <v>90</v>
      </c>
      <c r="C18" s="2"/>
    </row>
    <row r="19" customFormat="false" ht="15" hidden="false" customHeight="false" outlineLevel="0" collapsed="false">
      <c r="A19" s="3" t="s">
        <v>20</v>
      </c>
      <c r="B19" s="10" t="n">
        <v>2</v>
      </c>
      <c r="C19" s="2"/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4" t="s">
        <v>21</v>
      </c>
      <c r="B21" s="2"/>
      <c r="C21" s="2"/>
    </row>
    <row r="22" customFormat="false" ht="15" hidden="false" customHeight="false" outlineLevel="0" collapsed="false">
      <c r="A22" s="3" t="s">
        <v>22</v>
      </c>
      <c r="B22" s="2"/>
      <c r="C22" s="2"/>
    </row>
    <row r="23" customFormat="false" ht="15" hidden="false" customHeight="false" outlineLevel="0" collapsed="false">
      <c r="A23" s="11" t="s">
        <v>23</v>
      </c>
      <c r="B23" s="11" t="s">
        <v>24</v>
      </c>
      <c r="C23" s="11" t="s">
        <v>25</v>
      </c>
    </row>
    <row r="24" customFormat="false" ht="15" hidden="false" customHeight="false" outlineLevel="0" collapsed="false">
      <c r="A24" s="3" t="s">
        <v>26</v>
      </c>
      <c r="B24" s="12" t="n">
        <v>0.35</v>
      </c>
      <c r="C24" s="3" t="s">
        <v>27</v>
      </c>
    </row>
    <row r="25" customFormat="false" ht="15" hidden="false" customHeight="false" outlineLevel="0" collapsed="false">
      <c r="A25" s="3" t="s">
        <v>28</v>
      </c>
      <c r="B25" s="12" t="n">
        <v>0.4</v>
      </c>
      <c r="C25" s="3" t="s">
        <v>29</v>
      </c>
    </row>
    <row r="26" customFormat="false" ht="15" hidden="false" customHeight="false" outlineLevel="0" collapsed="false">
      <c r="A26" s="3" t="s">
        <v>30</v>
      </c>
      <c r="B26" s="12" t="n">
        <v>0.35</v>
      </c>
      <c r="C26" s="3" t="s">
        <v>31</v>
      </c>
    </row>
    <row r="27" customFormat="false" ht="15" hidden="false" customHeight="false" outlineLevel="0" collapsed="false">
      <c r="A27" s="3" t="s">
        <v>32</v>
      </c>
      <c r="B27" s="12" t="n">
        <v>0.25</v>
      </c>
      <c r="C27" s="3" t="s">
        <v>33</v>
      </c>
    </row>
    <row r="28" customFormat="false" ht="15" hidden="false" customHeight="false" outlineLevel="0" collapsed="false">
      <c r="A28" s="3" t="s">
        <v>34</v>
      </c>
      <c r="B28" s="12" t="n">
        <v>0.3</v>
      </c>
      <c r="C28" s="3" t="s">
        <v>35</v>
      </c>
    </row>
    <row r="29" customFormat="false" ht="15" hidden="false" customHeight="false" outlineLevel="0" collapsed="false">
      <c r="A29" s="3" t="s">
        <v>36</v>
      </c>
      <c r="B29" s="12" t="n">
        <v>0.2</v>
      </c>
      <c r="C29" s="3" t="s">
        <v>37</v>
      </c>
    </row>
    <row r="30" customFormat="false" ht="15" hidden="false" customHeight="false" outlineLevel="0" collapsed="false">
      <c r="A30" s="3" t="s">
        <v>38</v>
      </c>
      <c r="B30" s="12" t="n">
        <v>0.1</v>
      </c>
      <c r="C30" s="3" t="s">
        <v>39</v>
      </c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4" t="s">
        <v>40</v>
      </c>
      <c r="B32" s="2"/>
      <c r="C32" s="2"/>
    </row>
    <row r="33" customFormat="false" ht="15" hidden="false" customHeight="false" outlineLevel="0" collapsed="false">
      <c r="A33" s="3" t="s">
        <v>41</v>
      </c>
      <c r="B33" s="13" t="n">
        <v>15</v>
      </c>
      <c r="C33" s="2"/>
    </row>
    <row r="34" customFormat="false" ht="15" hidden="false" customHeight="false" outlineLevel="0" collapsed="false">
      <c r="A34" s="3" t="s">
        <v>42</v>
      </c>
      <c r="B34" s="14" t="n">
        <v>0</v>
      </c>
      <c r="C34" s="2"/>
    </row>
    <row r="35" customFormat="false" ht="15" hidden="false" customHeight="false" outlineLevel="0" collapsed="false">
      <c r="A35" s="3" t="s">
        <v>43</v>
      </c>
      <c r="B35" s="14" t="n">
        <v>7500</v>
      </c>
      <c r="C35" s="2"/>
    </row>
    <row r="36" customFormat="false" ht="15" hidden="false" customHeight="false" outlineLevel="0" collapsed="false">
      <c r="A36" s="3" t="s">
        <v>44</v>
      </c>
      <c r="B36" s="14" t="n">
        <v>0</v>
      </c>
      <c r="C36" s="2"/>
    </row>
    <row r="37" customFormat="false" ht="15" hidden="false" customHeight="false" outlineLevel="0" collapsed="false">
      <c r="A37" s="3" t="s">
        <v>45</v>
      </c>
      <c r="B37" s="14" t="n">
        <v>0</v>
      </c>
      <c r="C37" s="2"/>
    </row>
    <row r="38" customFormat="false" ht="15" hidden="false" customHeight="false" outlineLevel="0" collapsed="false">
      <c r="A38" s="2"/>
      <c r="B38" s="2"/>
      <c r="C38" s="2"/>
    </row>
    <row r="39" customFormat="false" ht="15" hidden="false" customHeight="false" outlineLevel="0" collapsed="false">
      <c r="A39" s="4" t="s">
        <v>46</v>
      </c>
      <c r="B39" s="2"/>
      <c r="C39" s="2"/>
    </row>
    <row r="40" customFormat="false" ht="15" hidden="false" customHeight="false" outlineLevel="0" collapsed="false">
      <c r="A40" s="3" t="s">
        <v>47</v>
      </c>
      <c r="B40" s="2"/>
      <c r="C40" s="2"/>
    </row>
    <row r="41" customFormat="false" ht="15" hidden="false" customHeight="false" outlineLevel="0" collapsed="false">
      <c r="A41" s="3" t="s">
        <v>48</v>
      </c>
      <c r="B41" s="2"/>
      <c r="C41" s="2"/>
    </row>
    <row r="42" customFormat="false" ht="15" hidden="false" customHeight="false" outlineLevel="0" collapsed="false">
      <c r="A42" s="3" t="s">
        <v>49</v>
      </c>
      <c r="B42" s="2"/>
      <c r="C42" s="2"/>
    </row>
    <row r="43" customFormat="false" ht="15" hidden="false" customHeight="false" outlineLevel="0" collapsed="false">
      <c r="A43" s="3" t="s">
        <v>50</v>
      </c>
      <c r="B43" s="2"/>
      <c r="C43" s="2"/>
    </row>
    <row r="44" customFormat="false" ht="15" hidden="false" customHeight="false" outlineLevel="0" collapsed="false">
      <c r="A44" s="3" t="s">
        <v>51</v>
      </c>
      <c r="B44" s="2"/>
      <c r="C44" s="2"/>
    </row>
  </sheetData>
  <dataValidations count="2">
    <dataValidation allowBlank="false" errorStyle="stop" operator="between" showDropDown="false" showErrorMessage="false" showInputMessage="false" sqref="B16" type="list">
      <formula1>"250,500,1000,2000,4000,7000,10000,15000"</formula1>
      <formula2>0</formula2>
    </dataValidation>
    <dataValidation allowBlank="false" errorStyle="stop" operator="between" showDropDown="false" showErrorMessage="false" showInputMessage="false" sqref="B13" type="list">
      <formula1>"SAR,TND,LYD,MRU,RWF,EUR,USD,XOF,MAD,DZD"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5"/>
    <col collapsed="false" customWidth="true" hidden="false" outlineLevel="0" max="6" min="6" style="0" width="14"/>
    <col collapsed="false" customWidth="true" hidden="false" outlineLevel="0" max="14" min="7" style="0" width="11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11" t="s">
        <v>54</v>
      </c>
      <c r="B3" s="11" t="s">
        <v>55</v>
      </c>
      <c r="C3" s="11" t="s">
        <v>56</v>
      </c>
      <c r="D3" s="11" t="s">
        <v>57</v>
      </c>
      <c r="E3" s="11" t="s">
        <v>58</v>
      </c>
      <c r="F3" s="11" t="s">
        <v>23</v>
      </c>
      <c r="G3" s="11" t="s">
        <v>59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64</v>
      </c>
      <c r="M3" s="11" t="s">
        <v>65</v>
      </c>
      <c r="N3" s="11" t="s">
        <v>66</v>
      </c>
      <c r="O3" s="11" t="s">
        <v>67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3" t="s">
        <v>68</v>
      </c>
      <c r="G4" s="15" t="n">
        <v>250</v>
      </c>
      <c r="H4" s="15" t="n">
        <v>500</v>
      </c>
      <c r="I4" s="15" t="n">
        <v>1000</v>
      </c>
      <c r="J4" s="15" t="n">
        <v>2000</v>
      </c>
      <c r="K4" s="15" t="n">
        <v>4000</v>
      </c>
      <c r="L4" s="15" t="n">
        <v>7000</v>
      </c>
      <c r="M4" s="15" t="n">
        <v>10000</v>
      </c>
      <c r="N4" s="15" t="n">
        <v>15000</v>
      </c>
      <c r="O4" s="2"/>
    </row>
    <row r="5" customFormat="false" ht="15" hidden="false" customHeight="false" outlineLevel="0" collapsed="false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26</v>
      </c>
      <c r="G5" s="16" t="n">
        <v>2.8</v>
      </c>
      <c r="H5" s="16" t="n">
        <v>2.6</v>
      </c>
      <c r="I5" s="16" t="n">
        <v>2.29</v>
      </c>
      <c r="J5" s="16" t="n">
        <v>1.99</v>
      </c>
      <c r="K5" s="16" t="n">
        <v>1.65</v>
      </c>
      <c r="L5" s="16" t="n">
        <v>1.58</v>
      </c>
      <c r="M5" s="16" t="n">
        <v>1.5</v>
      </c>
      <c r="N5" s="16" t="n">
        <v>1.47</v>
      </c>
      <c r="O5" s="16" t="n">
        <f aca="false">INDEX($G5:$N5,1,MATCH(Inputs!$B$16,$G$4:$N$4,0))</f>
        <v>2.29</v>
      </c>
    </row>
    <row r="6" customFormat="false" ht="15" hidden="false" customHeight="false" outlineLevel="0" collapsed="false">
      <c r="A6" s="2" t="s">
        <v>69</v>
      </c>
      <c r="B6" s="2" t="s">
        <v>70</v>
      </c>
      <c r="C6" s="2" t="s">
        <v>71</v>
      </c>
      <c r="D6" s="2" t="s">
        <v>74</v>
      </c>
      <c r="E6" s="2" t="s">
        <v>75</v>
      </c>
      <c r="F6" s="2" t="s">
        <v>26</v>
      </c>
      <c r="G6" s="16" t="n">
        <v>3.2</v>
      </c>
      <c r="H6" s="16" t="n">
        <v>3.1</v>
      </c>
      <c r="I6" s="16" t="n">
        <v>3.01</v>
      </c>
      <c r="J6" s="16" t="n">
        <v>2.86</v>
      </c>
      <c r="K6" s="16" t="n">
        <v>2.72</v>
      </c>
      <c r="L6" s="16" t="n">
        <v>2.61</v>
      </c>
      <c r="M6" s="16" t="n">
        <v>2.51</v>
      </c>
      <c r="N6" s="16" t="n">
        <v>2.46</v>
      </c>
      <c r="O6" s="16" t="n">
        <f aca="false">INDEX($G6:$N6,1,MATCH(Inputs!$B$16,$G$4:$N$4,0))</f>
        <v>3.01</v>
      </c>
    </row>
    <row r="7" customFormat="false" ht="15" hidden="false" customHeight="false" outlineLevel="0" collapsed="false">
      <c r="A7" s="2" t="s">
        <v>69</v>
      </c>
      <c r="B7" s="2" t="s">
        <v>70</v>
      </c>
      <c r="C7" s="2" t="s">
        <v>71</v>
      </c>
      <c r="D7" s="2" t="s">
        <v>76</v>
      </c>
      <c r="E7" s="2" t="s">
        <v>77</v>
      </c>
      <c r="F7" s="2" t="s">
        <v>26</v>
      </c>
      <c r="G7" s="16" t="n">
        <v>2.4</v>
      </c>
      <c r="H7" s="16" t="n">
        <v>2.33</v>
      </c>
      <c r="I7" s="16" t="n">
        <v>2.26</v>
      </c>
      <c r="J7" s="16" t="n">
        <v>2.15</v>
      </c>
      <c r="K7" s="16" t="n">
        <v>2.04</v>
      </c>
      <c r="L7" s="16" t="n">
        <v>1.96</v>
      </c>
      <c r="M7" s="16" t="n">
        <v>1.88</v>
      </c>
      <c r="N7" s="16" t="n">
        <v>1.84</v>
      </c>
      <c r="O7" s="16" t="n">
        <f aca="false">INDEX($G7:$N7,1,MATCH(Inputs!$B$16,$G$4:$N$4,0))</f>
        <v>2.26</v>
      </c>
    </row>
    <row r="8" customFormat="false" ht="15" hidden="false" customHeight="false" outlineLevel="0" collapsed="false">
      <c r="A8" s="2" t="s">
        <v>69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26</v>
      </c>
      <c r="G8" s="16" t="n">
        <v>65</v>
      </c>
      <c r="H8" s="16" t="n">
        <v>60.45</v>
      </c>
      <c r="I8" s="16" t="n">
        <v>55.61</v>
      </c>
      <c r="J8" s="16" t="n">
        <v>50.05</v>
      </c>
      <c r="K8" s="16" t="n">
        <v>46.05</v>
      </c>
      <c r="L8" s="16" t="n">
        <v>44.21</v>
      </c>
      <c r="M8" s="16" t="n">
        <v>42</v>
      </c>
      <c r="N8" s="16" t="n">
        <v>41.16</v>
      </c>
      <c r="O8" s="16" t="n">
        <f aca="false">INDEX($G8:$N8,1,MATCH(Inputs!$B$16,$G$4:$N$4,0))</f>
        <v>55.61</v>
      </c>
    </row>
    <row r="9" customFormat="false" ht="15" hidden="false" customHeight="false" outlineLevel="0" collapsed="false">
      <c r="A9" s="2" t="s">
        <v>69</v>
      </c>
      <c r="B9" s="2" t="s">
        <v>78</v>
      </c>
      <c r="C9" s="2" t="s">
        <v>79</v>
      </c>
      <c r="D9" s="2" t="s">
        <v>82</v>
      </c>
      <c r="E9" s="2" t="s">
        <v>83</v>
      </c>
      <c r="F9" s="2" t="s">
        <v>26</v>
      </c>
      <c r="G9" s="16" t="n">
        <v>45</v>
      </c>
      <c r="H9" s="16" t="n">
        <v>41.85</v>
      </c>
      <c r="I9" s="16" t="n">
        <v>38.5</v>
      </c>
      <c r="J9" s="16" t="n">
        <v>34.65</v>
      </c>
      <c r="K9" s="16" t="n">
        <v>31.88</v>
      </c>
      <c r="L9" s="16" t="n">
        <v>30.6</v>
      </c>
      <c r="M9" s="16" t="n">
        <v>29.07</v>
      </c>
      <c r="N9" s="16" t="n">
        <v>28.49</v>
      </c>
      <c r="O9" s="16" t="n">
        <f aca="false">INDEX($G9:$N9,1,MATCH(Inputs!$B$16,$G$4:$N$4,0))</f>
        <v>38.5</v>
      </c>
    </row>
    <row r="10" customFormat="false" ht="15" hidden="false" customHeight="false" outlineLevel="0" collapsed="false">
      <c r="A10" s="2" t="s">
        <v>69</v>
      </c>
      <c r="B10" s="2" t="s">
        <v>78</v>
      </c>
      <c r="C10" s="2" t="s">
        <v>79</v>
      </c>
      <c r="D10" s="2" t="s">
        <v>84</v>
      </c>
      <c r="E10" s="2" t="s">
        <v>85</v>
      </c>
      <c r="F10" s="2" t="s">
        <v>26</v>
      </c>
      <c r="G10" s="16" t="n">
        <v>9</v>
      </c>
      <c r="H10" s="16" t="n">
        <v>8.37</v>
      </c>
      <c r="I10" s="16" t="n">
        <v>7.7</v>
      </c>
      <c r="J10" s="16" t="n">
        <v>6.55</v>
      </c>
      <c r="K10" s="16" t="n">
        <v>5.9</v>
      </c>
      <c r="L10" s="16" t="n">
        <v>5.55</v>
      </c>
      <c r="M10" s="16" t="n">
        <v>5.11</v>
      </c>
      <c r="N10" s="16" t="n">
        <v>5.01</v>
      </c>
      <c r="O10" s="16" t="n">
        <f aca="false">INDEX($G10:$N10,1,MATCH(Inputs!$B$16,$G$4:$N$4,0))</f>
        <v>7.7</v>
      </c>
    </row>
    <row r="11" customFormat="false" ht="15" hidden="false" customHeight="false" outlineLevel="0" collapsed="false">
      <c r="A11" s="2" t="s">
        <v>69</v>
      </c>
      <c r="B11" s="2" t="s">
        <v>78</v>
      </c>
      <c r="C11" s="2" t="s">
        <v>79</v>
      </c>
      <c r="D11" s="2" t="s">
        <v>86</v>
      </c>
      <c r="E11" s="2" t="s">
        <v>87</v>
      </c>
      <c r="F11" s="2" t="s">
        <v>26</v>
      </c>
      <c r="G11" s="16" t="n">
        <v>3</v>
      </c>
      <c r="H11" s="16" t="n">
        <v>2.85</v>
      </c>
      <c r="I11" s="16" t="n">
        <v>2.65</v>
      </c>
      <c r="J11" s="16" t="n">
        <v>2.39</v>
      </c>
      <c r="K11" s="16" t="n">
        <v>2.2</v>
      </c>
      <c r="L11" s="16" t="n">
        <v>2.11</v>
      </c>
      <c r="M11" s="16" t="n">
        <v>2.03</v>
      </c>
      <c r="N11" s="16" t="n">
        <v>1.99</v>
      </c>
      <c r="O11" s="16" t="n">
        <f aca="false">INDEX($G11:$N11,1,MATCH(Inputs!$B$16,$G$4:$N$4,0))</f>
        <v>2.65</v>
      </c>
    </row>
    <row r="12" customFormat="false" ht="15" hidden="false" customHeight="false" outlineLevel="0" collapsed="false">
      <c r="A12" s="2" t="s">
        <v>69</v>
      </c>
      <c r="B12" s="2" t="s">
        <v>78</v>
      </c>
      <c r="C12" s="2" t="s">
        <v>79</v>
      </c>
      <c r="D12" s="2" t="s">
        <v>88</v>
      </c>
      <c r="E12" s="2" t="s">
        <v>89</v>
      </c>
      <c r="F12" s="2" t="s">
        <v>26</v>
      </c>
      <c r="G12" s="16" t="n">
        <v>2.4</v>
      </c>
      <c r="H12" s="16" t="n">
        <v>2.28</v>
      </c>
      <c r="I12" s="16" t="n">
        <v>2.12</v>
      </c>
      <c r="J12" s="16" t="n">
        <v>1.91</v>
      </c>
      <c r="K12" s="16" t="n">
        <v>1.76</v>
      </c>
      <c r="L12" s="16" t="n">
        <v>1.69</v>
      </c>
      <c r="M12" s="16" t="n">
        <v>1.62</v>
      </c>
      <c r="N12" s="16" t="n">
        <v>1.59</v>
      </c>
      <c r="O12" s="16" t="n">
        <f aca="false">INDEX($G12:$N12,1,MATCH(Inputs!$B$16,$G$4:$N$4,0))</f>
        <v>2.12</v>
      </c>
    </row>
    <row r="13" customFormat="false" ht="15" hidden="false" customHeight="false" outlineLevel="0" collapsed="false">
      <c r="A13" s="2" t="s">
        <v>69</v>
      </c>
      <c r="B13" s="2" t="s">
        <v>78</v>
      </c>
      <c r="C13" s="2" t="s">
        <v>79</v>
      </c>
      <c r="D13" s="2" t="s">
        <v>90</v>
      </c>
      <c r="E13" s="2" t="s">
        <v>91</v>
      </c>
      <c r="F13" s="2" t="s">
        <v>26</v>
      </c>
      <c r="G13" s="16" t="n">
        <v>2</v>
      </c>
      <c r="H13" s="16" t="n">
        <v>1.84</v>
      </c>
      <c r="I13" s="16" t="n">
        <v>1.69</v>
      </c>
      <c r="J13" s="16" t="n">
        <v>1.4</v>
      </c>
      <c r="K13" s="16" t="n">
        <v>1.19</v>
      </c>
      <c r="L13" s="16" t="n">
        <v>1.14</v>
      </c>
      <c r="M13" s="16" t="n">
        <v>1.09</v>
      </c>
      <c r="N13" s="16" t="n">
        <v>1.06</v>
      </c>
      <c r="O13" s="16" t="n">
        <f aca="false">INDEX($G13:$N13,1,MATCH(Inputs!$B$16,$G$4:$N$4,0))</f>
        <v>1.69</v>
      </c>
    </row>
    <row r="14" customFormat="false" ht="15" hidden="false" customHeight="false" outlineLevel="0" collapsed="false">
      <c r="A14" s="2" t="s">
        <v>69</v>
      </c>
      <c r="B14" s="2" t="s">
        <v>78</v>
      </c>
      <c r="C14" s="2" t="s">
        <v>92</v>
      </c>
      <c r="D14" s="2" t="s">
        <v>93</v>
      </c>
      <c r="E14" s="2" t="s">
        <v>94</v>
      </c>
      <c r="F14" s="2" t="s">
        <v>26</v>
      </c>
      <c r="G14" s="16" t="n">
        <v>81.5</v>
      </c>
      <c r="H14" s="16" t="n">
        <v>75.8</v>
      </c>
      <c r="I14" s="16" t="n">
        <v>69.74</v>
      </c>
      <c r="J14" s="16" t="n">
        <v>62.77</v>
      </c>
      <c r="K14" s="16" t="n">
        <v>57.75</v>
      </c>
      <c r="L14" s="16" t="n">
        <v>55.44</v>
      </c>
      <c r="M14" s="16" t="n">
        <v>52.67</v>
      </c>
      <c r="N14" s="16" t="n">
        <v>51.62</v>
      </c>
      <c r="O14" s="16" t="n">
        <f aca="false">INDEX($G14:$N14,1,MATCH(Inputs!$B$16,$G$4:$N$4,0))</f>
        <v>69.74</v>
      </c>
    </row>
    <row r="15" customFormat="false" ht="15" hidden="false" customHeight="false" outlineLevel="0" collapsed="false">
      <c r="A15" s="2" t="s">
        <v>69</v>
      </c>
      <c r="B15" s="2" t="s">
        <v>78</v>
      </c>
      <c r="C15" s="2" t="s">
        <v>92</v>
      </c>
      <c r="D15" s="2" t="s">
        <v>95</v>
      </c>
      <c r="E15" s="2" t="s">
        <v>96</v>
      </c>
      <c r="F15" s="2" t="s">
        <v>26</v>
      </c>
      <c r="G15" s="16" t="n">
        <v>56.5</v>
      </c>
      <c r="H15" s="16" t="n">
        <v>52.55</v>
      </c>
      <c r="I15" s="16" t="n">
        <v>48.35</v>
      </c>
      <c r="J15" s="16" t="n">
        <v>43.52</v>
      </c>
      <c r="K15" s="16" t="n">
        <v>40.04</v>
      </c>
      <c r="L15" s="16" t="n">
        <v>38.44</v>
      </c>
      <c r="M15" s="16" t="n">
        <v>36.52</v>
      </c>
      <c r="N15" s="16" t="n">
        <v>35.79</v>
      </c>
      <c r="O15" s="16" t="n">
        <f aca="false">INDEX($G15:$N15,1,MATCH(Inputs!$B$16,$G$4:$N$4,0))</f>
        <v>48.35</v>
      </c>
    </row>
    <row r="16" customFormat="false" ht="15" hidden="false" customHeight="false" outlineLevel="0" collapsed="false">
      <c r="A16" s="2" t="s">
        <v>69</v>
      </c>
      <c r="B16" s="2" t="s">
        <v>78</v>
      </c>
      <c r="C16" s="2" t="s">
        <v>92</v>
      </c>
      <c r="D16" s="2" t="s">
        <v>97</v>
      </c>
      <c r="E16" s="2" t="s">
        <v>98</v>
      </c>
      <c r="F16" s="2" t="s">
        <v>26</v>
      </c>
      <c r="G16" s="16" t="n">
        <v>11.3</v>
      </c>
      <c r="H16" s="16" t="n">
        <v>10.51</v>
      </c>
      <c r="I16" s="16" t="n">
        <v>9.67</v>
      </c>
      <c r="J16" s="16" t="n">
        <v>8.51</v>
      </c>
      <c r="K16" s="16" t="n">
        <v>7.74</v>
      </c>
      <c r="L16" s="16" t="n">
        <v>7.28</v>
      </c>
      <c r="M16" s="16" t="n">
        <v>6.84</v>
      </c>
      <c r="N16" s="16" t="n">
        <v>6.7</v>
      </c>
      <c r="O16" s="16" t="n">
        <f aca="false">INDEX($G16:$N16,1,MATCH(Inputs!$B$16,$G$4:$N$4,0))</f>
        <v>9.67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92</v>
      </c>
      <c r="D17" s="2" t="s">
        <v>99</v>
      </c>
      <c r="E17" s="2" t="s">
        <v>100</v>
      </c>
      <c r="F17" s="2" t="s">
        <v>26</v>
      </c>
      <c r="G17" s="16" t="n">
        <v>4.1</v>
      </c>
      <c r="H17" s="16" t="n">
        <v>3.9</v>
      </c>
      <c r="I17" s="16" t="n">
        <v>3.63</v>
      </c>
      <c r="J17" s="16" t="n">
        <v>3.27</v>
      </c>
      <c r="K17" s="16" t="n">
        <v>3.01</v>
      </c>
      <c r="L17" s="16" t="n">
        <v>2.89</v>
      </c>
      <c r="M17" s="16" t="n">
        <v>2.77</v>
      </c>
      <c r="N17" s="16" t="n">
        <v>2.71</v>
      </c>
      <c r="O17" s="16" t="n">
        <f aca="false">INDEX($G17:$N17,1,MATCH(Inputs!$B$16,$G$4:$N$4,0))</f>
        <v>3.63</v>
      </c>
    </row>
    <row r="18" customFormat="false" ht="15" hidden="false" customHeight="false" outlineLevel="0" collapsed="false">
      <c r="A18" s="2" t="s">
        <v>69</v>
      </c>
      <c r="B18" s="2" t="s">
        <v>78</v>
      </c>
      <c r="C18" s="2" t="s">
        <v>92</v>
      </c>
      <c r="D18" s="2" t="s">
        <v>101</v>
      </c>
      <c r="E18" s="2" t="s">
        <v>102</v>
      </c>
      <c r="F18" s="2" t="s">
        <v>26</v>
      </c>
      <c r="G18" s="16" t="n">
        <v>3.22</v>
      </c>
      <c r="H18" s="16" t="n">
        <v>3.06</v>
      </c>
      <c r="I18" s="16" t="n">
        <v>2.85</v>
      </c>
      <c r="J18" s="16" t="n">
        <v>2.57</v>
      </c>
      <c r="K18" s="16" t="n">
        <v>2.36</v>
      </c>
      <c r="L18" s="16" t="n">
        <v>2.27</v>
      </c>
      <c r="M18" s="16" t="n">
        <v>2.18</v>
      </c>
      <c r="N18" s="16" t="n">
        <v>2.14</v>
      </c>
      <c r="O18" s="16" t="n">
        <f aca="false">INDEX($G18:$N18,1,MATCH(Inputs!$B$16,$G$4:$N$4,0))</f>
        <v>2.85</v>
      </c>
    </row>
    <row r="19" customFormat="false" ht="15" hidden="false" customHeight="false" outlineLevel="0" collapsed="false">
      <c r="A19" s="2" t="s">
        <v>69</v>
      </c>
      <c r="B19" s="2" t="s">
        <v>78</v>
      </c>
      <c r="C19" s="2" t="s">
        <v>92</v>
      </c>
      <c r="D19" s="2" t="s">
        <v>103</v>
      </c>
      <c r="E19" s="2" t="s">
        <v>104</v>
      </c>
      <c r="F19" s="2" t="s">
        <v>26</v>
      </c>
      <c r="G19" s="16" t="n">
        <v>2.3</v>
      </c>
      <c r="H19" s="16" t="n">
        <v>2.12</v>
      </c>
      <c r="I19" s="16" t="n">
        <v>1.95</v>
      </c>
      <c r="J19" s="16" t="n">
        <v>1.62</v>
      </c>
      <c r="K19" s="16" t="n">
        <v>1.38</v>
      </c>
      <c r="L19" s="16" t="n">
        <v>1.32</v>
      </c>
      <c r="M19" s="16" t="n">
        <v>1.27</v>
      </c>
      <c r="N19" s="16" t="n">
        <v>1.23</v>
      </c>
      <c r="O19" s="16" t="n">
        <f aca="false">INDEX($G19:$N19,1,MATCH(Inputs!$B$16,$G$4:$N$4,0))</f>
        <v>1.95</v>
      </c>
    </row>
    <row r="20" customFormat="false" ht="15" hidden="false" customHeight="false" outlineLevel="0" collapsed="false">
      <c r="A20" s="2" t="s">
        <v>69</v>
      </c>
      <c r="B20" s="2" t="s">
        <v>105</v>
      </c>
      <c r="C20" s="2" t="s">
        <v>79</v>
      </c>
      <c r="D20" s="2" t="s">
        <v>106</v>
      </c>
      <c r="E20" s="2" t="s">
        <v>107</v>
      </c>
      <c r="F20" s="2" t="s">
        <v>26</v>
      </c>
      <c r="G20" s="16" t="n">
        <v>71</v>
      </c>
      <c r="H20" s="16" t="n">
        <v>66.03</v>
      </c>
      <c r="I20" s="16" t="n">
        <v>60.75</v>
      </c>
      <c r="J20" s="16" t="n">
        <v>54.68</v>
      </c>
      <c r="K20" s="16" t="n">
        <v>51.95</v>
      </c>
      <c r="L20" s="16" t="n">
        <v>50.39</v>
      </c>
      <c r="M20" s="16" t="n">
        <v>48.88</v>
      </c>
      <c r="N20" s="16" t="n">
        <v>47.9</v>
      </c>
      <c r="O20" s="16" t="n">
        <f aca="false">INDEX($G20:$N20,1,MATCH(Inputs!$B$16,$G$4:$N$4,0))</f>
        <v>60.75</v>
      </c>
    </row>
    <row r="21" customFormat="false" ht="15" hidden="false" customHeight="false" outlineLevel="0" collapsed="false">
      <c r="A21" s="2" t="s">
        <v>69</v>
      </c>
      <c r="B21" s="2" t="s">
        <v>105</v>
      </c>
      <c r="C21" s="2" t="s">
        <v>79</v>
      </c>
      <c r="D21" s="2" t="s">
        <v>108</v>
      </c>
      <c r="E21" s="2" t="s">
        <v>109</v>
      </c>
      <c r="F21" s="2" t="s">
        <v>26</v>
      </c>
      <c r="G21" s="16" t="n">
        <v>50</v>
      </c>
      <c r="H21" s="16" t="n">
        <v>46.5</v>
      </c>
      <c r="I21" s="16" t="n">
        <v>43.25</v>
      </c>
      <c r="J21" s="16" t="n">
        <v>40.66</v>
      </c>
      <c r="K21" s="16" t="n">
        <v>39.03</v>
      </c>
      <c r="L21" s="16" t="n">
        <v>37.86</v>
      </c>
      <c r="M21" s="16" t="n">
        <v>37.1</v>
      </c>
      <c r="N21" s="16" t="n">
        <v>36.36</v>
      </c>
      <c r="O21" s="16" t="n">
        <f aca="false">INDEX($G21:$N21,1,MATCH(Inputs!$B$16,$G$4:$N$4,0))</f>
        <v>43.25</v>
      </c>
    </row>
    <row r="22" customFormat="false" ht="15" hidden="false" customHeight="false" outlineLevel="0" collapsed="false">
      <c r="A22" s="2" t="s">
        <v>69</v>
      </c>
      <c r="B22" s="2" t="s">
        <v>105</v>
      </c>
      <c r="C22" s="2" t="s">
        <v>79</v>
      </c>
      <c r="D22" s="2" t="s">
        <v>110</v>
      </c>
      <c r="E22" s="2" t="s">
        <v>111</v>
      </c>
      <c r="F22" s="2" t="s">
        <v>26</v>
      </c>
      <c r="G22" s="16" t="n">
        <v>13.5</v>
      </c>
      <c r="H22" s="16" t="n">
        <v>12.56</v>
      </c>
      <c r="I22" s="16" t="n">
        <v>11.56</v>
      </c>
      <c r="J22" s="16" t="n">
        <v>10.17</v>
      </c>
      <c r="K22" s="16" t="n">
        <v>9.25</v>
      </c>
      <c r="L22" s="16" t="n">
        <v>8.7</v>
      </c>
      <c r="M22" s="16" t="n">
        <v>8.18</v>
      </c>
      <c r="N22" s="16" t="n">
        <v>8.02</v>
      </c>
      <c r="O22" s="16" t="n">
        <f aca="false">INDEX($G22:$N22,1,MATCH(Inputs!$B$16,$G$4:$N$4,0))</f>
        <v>11.56</v>
      </c>
    </row>
    <row r="23" customFormat="false" ht="15" hidden="false" customHeight="false" outlineLevel="0" collapsed="false">
      <c r="A23" s="2" t="s">
        <v>69</v>
      </c>
      <c r="B23" s="2" t="s">
        <v>105</v>
      </c>
      <c r="C23" s="2" t="s">
        <v>79</v>
      </c>
      <c r="D23" s="2" t="s">
        <v>112</v>
      </c>
      <c r="E23" s="2" t="s">
        <v>113</v>
      </c>
      <c r="F23" s="2" t="s">
        <v>26</v>
      </c>
      <c r="G23" s="16" t="n">
        <v>8.2</v>
      </c>
      <c r="H23" s="16" t="n">
        <v>7.79</v>
      </c>
      <c r="I23" s="16" t="n">
        <v>7.32</v>
      </c>
      <c r="J23" s="16" t="n">
        <v>6.73</v>
      </c>
      <c r="K23" s="16" t="n">
        <v>6.19</v>
      </c>
      <c r="L23" s="16" t="n">
        <v>6</v>
      </c>
      <c r="M23" s="16" t="n">
        <v>5.82</v>
      </c>
      <c r="N23" s="16" t="n">
        <v>5.7</v>
      </c>
      <c r="O23" s="16" t="n">
        <f aca="false">INDEX($G23:$N23,1,MATCH(Inputs!$B$16,$G$4:$N$4,0))</f>
        <v>7.32</v>
      </c>
    </row>
    <row r="24" customFormat="false" ht="15" hidden="false" customHeight="false" outlineLevel="0" collapsed="false">
      <c r="A24" s="2" t="s">
        <v>69</v>
      </c>
      <c r="B24" s="2" t="s">
        <v>105</v>
      </c>
      <c r="C24" s="2" t="s">
        <v>79</v>
      </c>
      <c r="D24" s="2" t="s">
        <v>114</v>
      </c>
      <c r="E24" s="2" t="s">
        <v>115</v>
      </c>
      <c r="F24" s="2" t="s">
        <v>26</v>
      </c>
      <c r="G24" s="16" t="n">
        <v>4.5</v>
      </c>
      <c r="H24" s="16" t="n">
        <v>4.28</v>
      </c>
      <c r="I24" s="16" t="n">
        <v>4.02</v>
      </c>
      <c r="J24" s="16" t="n">
        <v>3.7</v>
      </c>
      <c r="K24" s="16" t="n">
        <v>3.4</v>
      </c>
      <c r="L24" s="16" t="n">
        <v>3.3</v>
      </c>
      <c r="M24" s="16" t="n">
        <v>3.2</v>
      </c>
      <c r="N24" s="16" t="n">
        <v>3.14</v>
      </c>
      <c r="O24" s="16" t="n">
        <f aca="false">INDEX($G24:$N24,1,MATCH(Inputs!$B$16,$G$4:$N$4,0))</f>
        <v>4.02</v>
      </c>
    </row>
    <row r="25" customFormat="false" ht="15" hidden="false" customHeight="false" outlineLevel="0" collapsed="false">
      <c r="A25" s="2" t="s">
        <v>69</v>
      </c>
      <c r="B25" s="2" t="s">
        <v>105</v>
      </c>
      <c r="C25" s="2" t="s">
        <v>92</v>
      </c>
      <c r="D25" s="2" t="s">
        <v>116</v>
      </c>
      <c r="E25" s="2" t="s">
        <v>117</v>
      </c>
      <c r="F25" s="2" t="s">
        <v>26</v>
      </c>
      <c r="G25" s="16" t="n">
        <v>87.5</v>
      </c>
      <c r="H25" s="16" t="n">
        <v>81.38</v>
      </c>
      <c r="I25" s="16" t="n">
        <v>74.87</v>
      </c>
      <c r="J25" s="16" t="n">
        <v>67.38</v>
      </c>
      <c r="K25" s="16" t="n">
        <v>64.01</v>
      </c>
      <c r="L25" s="16" t="n">
        <v>62.09</v>
      </c>
      <c r="M25" s="16" t="n">
        <v>60.23</v>
      </c>
      <c r="N25" s="16" t="n">
        <v>59.03</v>
      </c>
      <c r="O25" s="16" t="n">
        <f aca="false">INDEX($G25:$N25,1,MATCH(Inputs!$B$16,$G$4:$N$4,0))</f>
        <v>74.87</v>
      </c>
    </row>
    <row r="26" customFormat="false" ht="15" hidden="false" customHeight="false" outlineLevel="0" collapsed="false">
      <c r="A26" s="2" t="s">
        <v>69</v>
      </c>
      <c r="B26" s="2" t="s">
        <v>105</v>
      </c>
      <c r="C26" s="2" t="s">
        <v>92</v>
      </c>
      <c r="D26" s="2" t="s">
        <v>118</v>
      </c>
      <c r="E26" s="2" t="s">
        <v>119</v>
      </c>
      <c r="F26" s="2" t="s">
        <v>26</v>
      </c>
      <c r="G26" s="16" t="n">
        <v>61.5</v>
      </c>
      <c r="H26" s="16" t="n">
        <v>57.2</v>
      </c>
      <c r="I26" s="16" t="n">
        <v>53.2</v>
      </c>
      <c r="J26" s="16" t="n">
        <v>50.01</v>
      </c>
      <c r="K26" s="16" t="n">
        <v>48.01</v>
      </c>
      <c r="L26" s="16" t="n">
        <v>46.57</v>
      </c>
      <c r="M26" s="16" t="n">
        <v>45.64</v>
      </c>
      <c r="N26" s="16" t="n">
        <v>44.73</v>
      </c>
      <c r="O26" s="16" t="n">
        <f aca="false">INDEX($G26:$N26,1,MATCH(Inputs!$B$16,$G$4:$N$4,0))</f>
        <v>53.2</v>
      </c>
    </row>
    <row r="27" customFormat="false" ht="15" hidden="false" customHeight="false" outlineLevel="0" collapsed="false">
      <c r="A27" s="2" t="s">
        <v>69</v>
      </c>
      <c r="B27" s="2" t="s">
        <v>105</v>
      </c>
      <c r="C27" s="2" t="s">
        <v>92</v>
      </c>
      <c r="D27" s="2" t="s">
        <v>120</v>
      </c>
      <c r="E27" s="2" t="s">
        <v>121</v>
      </c>
      <c r="F27" s="2" t="s">
        <v>26</v>
      </c>
      <c r="G27" s="16" t="n">
        <v>16.2</v>
      </c>
      <c r="H27" s="16" t="n">
        <v>15.07</v>
      </c>
      <c r="I27" s="16" t="n">
        <v>13.86</v>
      </c>
      <c r="J27" s="16" t="n">
        <v>12.2</v>
      </c>
      <c r="K27" s="16" t="n">
        <v>11.1</v>
      </c>
      <c r="L27" s="16" t="n">
        <v>10.43</v>
      </c>
      <c r="M27" s="16" t="n">
        <v>9.8</v>
      </c>
      <c r="N27" s="16" t="n">
        <v>9.6</v>
      </c>
      <c r="O27" s="16" t="n">
        <f aca="false">INDEX($G27:$N27,1,MATCH(Inputs!$B$16,$G$4:$N$4,0))</f>
        <v>13.86</v>
      </c>
    </row>
    <row r="28" customFormat="false" ht="15" hidden="false" customHeight="false" outlineLevel="0" collapsed="false">
      <c r="A28" s="2" t="s">
        <v>69</v>
      </c>
      <c r="B28" s="2" t="s">
        <v>105</v>
      </c>
      <c r="C28" s="2" t="s">
        <v>92</v>
      </c>
      <c r="D28" s="2" t="s">
        <v>122</v>
      </c>
      <c r="E28" s="2" t="s">
        <v>123</v>
      </c>
      <c r="F28" s="2" t="s">
        <v>26</v>
      </c>
      <c r="G28" s="16" t="n">
        <v>9.5</v>
      </c>
      <c r="H28" s="16" t="n">
        <v>9.03</v>
      </c>
      <c r="I28" s="16" t="n">
        <v>8.49</v>
      </c>
      <c r="J28" s="16" t="n">
        <v>7.81</v>
      </c>
      <c r="K28" s="16" t="n">
        <v>7.19</v>
      </c>
      <c r="L28" s="16" t="n">
        <v>6.97</v>
      </c>
      <c r="M28" s="16" t="n">
        <v>6.76</v>
      </c>
      <c r="N28" s="16" t="n">
        <v>6.62</v>
      </c>
      <c r="O28" s="16" t="n">
        <f aca="false">INDEX($G28:$N28,1,MATCH(Inputs!$B$16,$G$4:$N$4,0))</f>
        <v>8.49</v>
      </c>
    </row>
    <row r="29" customFormat="false" ht="15" hidden="false" customHeight="false" outlineLevel="0" collapsed="false">
      <c r="A29" s="2" t="s">
        <v>69</v>
      </c>
      <c r="B29" s="2" t="s">
        <v>105</v>
      </c>
      <c r="C29" s="2" t="s">
        <v>92</v>
      </c>
      <c r="D29" s="2" t="s">
        <v>124</v>
      </c>
      <c r="E29" s="2" t="s">
        <v>125</v>
      </c>
      <c r="F29" s="2" t="s">
        <v>26</v>
      </c>
      <c r="G29" s="16" t="n">
        <v>5.35</v>
      </c>
      <c r="H29" s="16" t="n">
        <v>5.08</v>
      </c>
      <c r="I29" s="16" t="n">
        <v>4.78</v>
      </c>
      <c r="J29" s="16" t="n">
        <v>4.4</v>
      </c>
      <c r="K29" s="16" t="n">
        <v>4.05</v>
      </c>
      <c r="L29" s="16" t="n">
        <v>3.93</v>
      </c>
      <c r="M29" s="16" t="n">
        <v>3.81</v>
      </c>
      <c r="N29" s="16" t="n">
        <v>3.73</v>
      </c>
      <c r="O29" s="16" t="n">
        <f aca="false">INDEX($G29:$N29,1,MATCH(Inputs!$B$16,$G$4:$N$4,0))</f>
        <v>4.78</v>
      </c>
    </row>
    <row r="30" customFormat="false" ht="15" hidden="false" customHeight="false" outlineLevel="0" collapsed="false">
      <c r="A30" s="2" t="s">
        <v>69</v>
      </c>
      <c r="B30" s="2" t="s">
        <v>126</v>
      </c>
      <c r="C30" s="2" t="s">
        <v>71</v>
      </c>
      <c r="D30" s="2" t="s">
        <v>127</v>
      </c>
      <c r="E30" s="2" t="s">
        <v>128</v>
      </c>
      <c r="F30" s="2" t="s">
        <v>26</v>
      </c>
      <c r="G30" s="16" t="n">
        <v>1.9</v>
      </c>
      <c r="H30" s="16" t="n">
        <v>1.8</v>
      </c>
      <c r="I30" s="16" t="n">
        <v>1.7</v>
      </c>
      <c r="J30" s="16" t="n">
        <v>1.65</v>
      </c>
      <c r="K30" s="16" t="n">
        <v>1.6</v>
      </c>
      <c r="L30" s="16" t="n">
        <v>1.55</v>
      </c>
      <c r="M30" s="16" t="n">
        <v>1.5</v>
      </c>
      <c r="N30" s="16" t="n">
        <v>1.45</v>
      </c>
      <c r="O30" s="16" t="n">
        <f aca="false">INDEX($G30:$N30,1,MATCH(Inputs!$B$16,$G$4:$N$4,0))</f>
        <v>1.7</v>
      </c>
    </row>
    <row r="31" customFormat="false" ht="15" hidden="false" customHeight="false" outlineLevel="0" collapsed="false">
      <c r="A31" s="2" t="s">
        <v>69</v>
      </c>
      <c r="B31" s="2" t="s">
        <v>126</v>
      </c>
      <c r="C31" s="2" t="s">
        <v>71</v>
      </c>
      <c r="D31" s="2" t="s">
        <v>129</v>
      </c>
      <c r="E31" s="2" t="s">
        <v>130</v>
      </c>
      <c r="F31" s="2" t="s">
        <v>26</v>
      </c>
      <c r="G31" s="16" t="n">
        <v>3.2</v>
      </c>
      <c r="H31" s="16" t="n">
        <v>3</v>
      </c>
      <c r="I31" s="16" t="n">
        <v>2.9</v>
      </c>
      <c r="J31" s="16" t="n">
        <v>2.8</v>
      </c>
      <c r="K31" s="16" t="n">
        <v>2.7</v>
      </c>
      <c r="L31" s="16" t="n">
        <v>2.6</v>
      </c>
      <c r="M31" s="16" t="n">
        <v>2.5</v>
      </c>
      <c r="N31" s="16" t="n">
        <v>2.4</v>
      </c>
      <c r="O31" s="16" t="n">
        <f aca="false">INDEX($G31:$N31,1,MATCH(Inputs!$B$16,$G$4:$N$4,0))</f>
        <v>2.9</v>
      </c>
    </row>
    <row r="32" customFormat="false" ht="15" hidden="false" customHeight="false" outlineLevel="0" collapsed="false">
      <c r="A32" s="2" t="s">
        <v>69</v>
      </c>
      <c r="B32" s="2" t="s">
        <v>126</v>
      </c>
      <c r="C32" s="2" t="s">
        <v>71</v>
      </c>
      <c r="D32" s="2" t="s">
        <v>131</v>
      </c>
      <c r="E32" s="2" t="s">
        <v>132</v>
      </c>
      <c r="F32" s="2" t="s">
        <v>26</v>
      </c>
      <c r="G32" s="16" t="n">
        <v>2.4</v>
      </c>
      <c r="H32" s="16" t="n">
        <v>2.3</v>
      </c>
      <c r="I32" s="16" t="n">
        <v>2.2</v>
      </c>
      <c r="J32" s="16" t="n">
        <v>2.15</v>
      </c>
      <c r="K32" s="16" t="n">
        <v>2.1</v>
      </c>
      <c r="L32" s="16" t="n">
        <v>2.05</v>
      </c>
      <c r="M32" s="16" t="n">
        <v>2</v>
      </c>
      <c r="N32" s="16" t="n">
        <v>1.95</v>
      </c>
      <c r="O32" s="16" t="n">
        <f aca="false">INDEX($G32:$N32,1,MATCH(Inputs!$B$16,$G$4:$N$4,0))</f>
        <v>2.2</v>
      </c>
    </row>
    <row r="33" customFormat="false" ht="15" hidden="false" customHeight="false" outlineLevel="0" collapsed="false">
      <c r="A33" s="2" t="s">
        <v>69</v>
      </c>
      <c r="B33" s="2" t="s">
        <v>126</v>
      </c>
      <c r="C33" s="2" t="s">
        <v>71</v>
      </c>
      <c r="D33" s="2" t="s">
        <v>133</v>
      </c>
      <c r="E33" s="2" t="s">
        <v>134</v>
      </c>
      <c r="F33" s="2" t="s">
        <v>26</v>
      </c>
      <c r="G33" s="16" t="n">
        <v>3.7</v>
      </c>
      <c r="H33" s="16" t="n">
        <v>3.5</v>
      </c>
      <c r="I33" s="16" t="n">
        <v>3.4</v>
      </c>
      <c r="J33" s="16" t="n">
        <v>3.3</v>
      </c>
      <c r="K33" s="16" t="n">
        <v>3.2</v>
      </c>
      <c r="L33" s="16" t="n">
        <v>3.1</v>
      </c>
      <c r="M33" s="16" t="n">
        <v>3</v>
      </c>
      <c r="N33" s="16" t="n">
        <v>2.9</v>
      </c>
      <c r="O33" s="16" t="n">
        <f aca="false">INDEX($G33:$N33,1,MATCH(Inputs!$B$16,$G$4:$N$4,0))</f>
        <v>3.4</v>
      </c>
    </row>
    <row r="34" customFormat="false" ht="15" hidden="false" customHeight="false" outlineLevel="0" collapsed="false">
      <c r="A34" s="2" t="s">
        <v>69</v>
      </c>
      <c r="B34" s="2" t="s">
        <v>126</v>
      </c>
      <c r="C34" s="2" t="s">
        <v>71</v>
      </c>
      <c r="D34" s="2" t="s">
        <v>135</v>
      </c>
      <c r="E34" s="2" t="s">
        <v>136</v>
      </c>
      <c r="F34" s="2" t="s">
        <v>26</v>
      </c>
      <c r="G34" s="16" t="n">
        <v>3.2</v>
      </c>
      <c r="H34" s="16" t="n">
        <v>3.1</v>
      </c>
      <c r="I34" s="16" t="n">
        <v>3</v>
      </c>
      <c r="J34" s="16" t="n">
        <v>2.9</v>
      </c>
      <c r="K34" s="16" t="n">
        <v>2.8</v>
      </c>
      <c r="L34" s="16" t="n">
        <v>2.78</v>
      </c>
      <c r="M34" s="16" t="n">
        <v>2.75</v>
      </c>
      <c r="N34" s="16" t="n">
        <v>2.69</v>
      </c>
      <c r="O34" s="16" t="n">
        <f aca="false">INDEX($G34:$N34,1,MATCH(Inputs!$B$16,$G$4:$N$4,0))</f>
        <v>3</v>
      </c>
    </row>
    <row r="35" customFormat="false" ht="15" hidden="false" customHeight="false" outlineLevel="0" collapsed="false">
      <c r="A35" s="2" t="s">
        <v>69</v>
      </c>
      <c r="B35" s="2" t="s">
        <v>126</v>
      </c>
      <c r="C35" s="2" t="s">
        <v>71</v>
      </c>
      <c r="D35" s="2" t="s">
        <v>137</v>
      </c>
      <c r="E35" s="2" t="s">
        <v>138</v>
      </c>
      <c r="F35" s="2" t="s">
        <v>26</v>
      </c>
      <c r="G35" s="16" t="n">
        <v>6.4</v>
      </c>
      <c r="H35" s="16" t="n">
        <v>6.2</v>
      </c>
      <c r="I35" s="16" t="n">
        <v>6</v>
      </c>
      <c r="J35" s="16" t="n">
        <v>5.8</v>
      </c>
      <c r="K35" s="16" t="n">
        <v>5.6</v>
      </c>
      <c r="L35" s="16" t="n">
        <v>5.55</v>
      </c>
      <c r="M35" s="16" t="n">
        <v>5.5</v>
      </c>
      <c r="N35" s="16" t="n">
        <v>5.37</v>
      </c>
      <c r="O35" s="16" t="n">
        <f aca="false">INDEX($G35:$N35,1,MATCH(Inputs!$B$16,$G$4:$N$4,0))</f>
        <v>6</v>
      </c>
    </row>
    <row r="36" customFormat="false" ht="15" hidden="false" customHeight="false" outlineLevel="0" collapsed="false">
      <c r="A36" s="2" t="s">
        <v>69</v>
      </c>
      <c r="B36" s="2" t="s">
        <v>139</v>
      </c>
      <c r="C36" s="2" t="s">
        <v>71</v>
      </c>
      <c r="D36" s="2" t="s">
        <v>140</v>
      </c>
      <c r="E36" s="2" t="s">
        <v>141</v>
      </c>
      <c r="F36" s="2" t="s">
        <v>26</v>
      </c>
      <c r="G36" s="16" t="n">
        <v>1.4</v>
      </c>
      <c r="H36" s="16" t="n">
        <v>1.33</v>
      </c>
      <c r="I36" s="16" t="n">
        <v>1.24</v>
      </c>
      <c r="J36" s="16" t="n">
        <v>1.12</v>
      </c>
      <c r="K36" s="16" t="n">
        <v>1.03</v>
      </c>
      <c r="L36" s="16" t="n">
        <v>0.99</v>
      </c>
      <c r="M36" s="16" t="n">
        <v>0.95</v>
      </c>
      <c r="N36" s="16" t="n">
        <v>0.93</v>
      </c>
      <c r="O36" s="16" t="n">
        <f aca="false">INDEX($G36:$N36,1,MATCH(Inputs!$B$16,$G$4:$N$4,0))</f>
        <v>1.24</v>
      </c>
    </row>
    <row r="37" customFormat="false" ht="15" hidden="false" customHeight="false" outlineLevel="0" collapsed="false">
      <c r="A37" s="2" t="s">
        <v>69</v>
      </c>
      <c r="B37" s="2" t="s">
        <v>142</v>
      </c>
      <c r="C37" s="2" t="s">
        <v>79</v>
      </c>
      <c r="D37" s="2" t="s">
        <v>143</v>
      </c>
      <c r="E37" s="2" t="s">
        <v>144</v>
      </c>
      <c r="F37" s="2" t="s">
        <v>32</v>
      </c>
      <c r="G37" s="16" t="n">
        <v>0.0435</v>
      </c>
      <c r="H37" s="16" t="n">
        <v>0.0387</v>
      </c>
      <c r="I37" s="16" t="n">
        <v>0.0341</v>
      </c>
      <c r="J37" s="16" t="n">
        <v>0.0286</v>
      </c>
      <c r="K37" s="16" t="n">
        <v>0.0232</v>
      </c>
      <c r="L37" s="16" t="n">
        <v>0.0218</v>
      </c>
      <c r="M37" s="16" t="n">
        <v>0.0209</v>
      </c>
      <c r="N37" s="16" t="n">
        <v>0.0203</v>
      </c>
      <c r="O37" s="16" t="n">
        <f aca="false">INDEX($G37:$N37,1,MATCH(Inputs!$B$16,$G$4:$N$4,0))</f>
        <v>0.0341</v>
      </c>
    </row>
    <row r="38" customFormat="false" ht="15" hidden="false" customHeight="false" outlineLevel="0" collapsed="false">
      <c r="A38" s="2" t="s">
        <v>69</v>
      </c>
      <c r="B38" s="2" t="s">
        <v>142</v>
      </c>
      <c r="C38" s="2" t="s">
        <v>92</v>
      </c>
      <c r="D38" s="2" t="s">
        <v>145</v>
      </c>
      <c r="E38" s="2" t="s">
        <v>146</v>
      </c>
      <c r="F38" s="2" t="s">
        <v>32</v>
      </c>
      <c r="G38" s="16" t="n">
        <v>0.0546</v>
      </c>
      <c r="H38" s="16" t="n">
        <v>0.0486</v>
      </c>
      <c r="I38" s="16" t="n">
        <v>0.0428</v>
      </c>
      <c r="J38" s="16" t="n">
        <v>0.036</v>
      </c>
      <c r="K38" s="16" t="n">
        <v>0.0292</v>
      </c>
      <c r="L38" s="16" t="n">
        <v>0.0274</v>
      </c>
      <c r="M38" s="16" t="n">
        <v>0.0263</v>
      </c>
      <c r="N38" s="16" t="n">
        <v>0.0258</v>
      </c>
      <c r="O38" s="16" t="n">
        <f aca="false">INDEX($G38:$N38,1,MATCH(Inputs!$B$16,$G$4:$N$4,0))</f>
        <v>0.0428</v>
      </c>
    </row>
    <row r="39" customFormat="false" ht="15" hidden="false" customHeight="false" outlineLevel="0" collapsed="false">
      <c r="A39" s="2" t="s">
        <v>69</v>
      </c>
      <c r="B39" s="2" t="s">
        <v>147</v>
      </c>
      <c r="C39" s="2" t="s">
        <v>79</v>
      </c>
      <c r="D39" s="2" t="s">
        <v>148</v>
      </c>
      <c r="E39" s="2" t="s">
        <v>149</v>
      </c>
      <c r="F39" s="2" t="s">
        <v>32</v>
      </c>
      <c r="G39" s="16" t="n">
        <v>0.0325</v>
      </c>
      <c r="H39" s="16" t="n">
        <v>0.0289</v>
      </c>
      <c r="I39" s="16" t="n">
        <v>0.0254</v>
      </c>
      <c r="J39" s="16" t="n">
        <v>0.0216</v>
      </c>
      <c r="K39" s="16" t="n">
        <v>0.0177</v>
      </c>
      <c r="L39" s="16" t="n">
        <v>0.0166</v>
      </c>
      <c r="M39" s="16" t="n">
        <v>0.0159</v>
      </c>
      <c r="N39" s="16" t="n">
        <v>0.0154</v>
      </c>
      <c r="O39" s="16" t="n">
        <f aca="false">INDEX($G39:$N39,1,MATCH(Inputs!$B$16,$G$4:$N$4,0))</f>
        <v>0.0254</v>
      </c>
    </row>
    <row r="40" customFormat="false" ht="15" hidden="false" customHeight="false" outlineLevel="0" collapsed="false">
      <c r="A40" s="2" t="s">
        <v>69</v>
      </c>
      <c r="B40" s="2" t="s">
        <v>147</v>
      </c>
      <c r="C40" s="2" t="s">
        <v>79</v>
      </c>
      <c r="D40" s="2" t="s">
        <v>150</v>
      </c>
      <c r="E40" s="2" t="s">
        <v>151</v>
      </c>
      <c r="F40" s="2" t="s">
        <v>32</v>
      </c>
      <c r="G40" s="16" t="n">
        <v>1.73</v>
      </c>
      <c r="H40" s="16" t="n">
        <v>1.64</v>
      </c>
      <c r="I40" s="16" t="n">
        <v>1.53</v>
      </c>
      <c r="J40" s="16" t="n">
        <v>1.38</v>
      </c>
      <c r="K40" s="16" t="n">
        <v>1.27</v>
      </c>
      <c r="L40" s="16" t="n">
        <v>1.22</v>
      </c>
      <c r="M40" s="16" t="n">
        <v>1.17</v>
      </c>
      <c r="N40" s="16" t="n">
        <v>1.15</v>
      </c>
      <c r="O40" s="16" t="n">
        <f aca="false">INDEX($G40:$N40,1,MATCH(Inputs!$B$16,$G$4:$N$4,0))</f>
        <v>1.53</v>
      </c>
    </row>
    <row r="41" customFormat="false" ht="15" hidden="false" customHeight="false" outlineLevel="0" collapsed="false">
      <c r="A41" s="2" t="s">
        <v>69</v>
      </c>
      <c r="B41" s="2" t="s">
        <v>147</v>
      </c>
      <c r="C41" s="2" t="s">
        <v>79</v>
      </c>
      <c r="D41" s="2" t="s">
        <v>152</v>
      </c>
      <c r="E41" s="2" t="s">
        <v>153</v>
      </c>
      <c r="F41" s="2" t="s">
        <v>32</v>
      </c>
      <c r="G41" s="16" t="n">
        <v>1.73</v>
      </c>
      <c r="H41" s="16" t="n">
        <v>1.64</v>
      </c>
      <c r="I41" s="16" t="n">
        <v>1.53</v>
      </c>
      <c r="J41" s="16" t="n">
        <v>1.38</v>
      </c>
      <c r="K41" s="16" t="n">
        <v>1.27</v>
      </c>
      <c r="L41" s="16" t="n">
        <v>1.22</v>
      </c>
      <c r="M41" s="16" t="n">
        <v>1.17</v>
      </c>
      <c r="N41" s="16" t="n">
        <v>1.15</v>
      </c>
      <c r="O41" s="16" t="n">
        <f aca="false">INDEX($G41:$N41,1,MATCH(Inputs!$B$16,$G$4:$N$4,0))</f>
        <v>1.53</v>
      </c>
    </row>
    <row r="42" customFormat="false" ht="15" hidden="false" customHeight="false" outlineLevel="0" collapsed="false">
      <c r="A42" s="2" t="s">
        <v>69</v>
      </c>
      <c r="B42" s="2" t="s">
        <v>154</v>
      </c>
      <c r="C42" s="2" t="s">
        <v>71</v>
      </c>
      <c r="D42" s="2" t="s">
        <v>155</v>
      </c>
      <c r="E42" s="2" t="s">
        <v>156</v>
      </c>
      <c r="F42" s="2" t="s">
        <v>32</v>
      </c>
      <c r="G42" s="16" t="n">
        <v>0.06</v>
      </c>
      <c r="H42" s="16" t="n">
        <v>0.0558</v>
      </c>
      <c r="I42" s="16" t="n">
        <v>0.0513</v>
      </c>
      <c r="J42" s="16" t="n">
        <v>0.0462</v>
      </c>
      <c r="K42" s="16" t="n">
        <v>0.0425</v>
      </c>
      <c r="L42" s="16" t="n">
        <v>0.0408</v>
      </c>
      <c r="M42" s="16" t="n">
        <v>0.0388</v>
      </c>
      <c r="N42" s="16" t="n">
        <v>0.038</v>
      </c>
      <c r="O42" s="16" t="n">
        <f aca="false">INDEX($G42:$N42,1,MATCH(Inputs!$B$16,$G$4:$N$4,0))</f>
        <v>0.0513</v>
      </c>
    </row>
    <row r="43" customFormat="false" ht="15" hidden="false" customHeight="false" outlineLevel="0" collapsed="false">
      <c r="A43" s="2" t="s">
        <v>69</v>
      </c>
      <c r="B43" s="2" t="s">
        <v>154</v>
      </c>
      <c r="C43" s="2" t="s">
        <v>71</v>
      </c>
      <c r="D43" s="2" t="s">
        <v>157</v>
      </c>
      <c r="E43" s="2" t="s">
        <v>158</v>
      </c>
      <c r="F43" s="2" t="s">
        <v>32</v>
      </c>
      <c r="G43" s="16" t="n">
        <v>3</v>
      </c>
      <c r="H43" s="16" t="n">
        <v>2.79</v>
      </c>
      <c r="I43" s="16" t="n">
        <v>2.57</v>
      </c>
      <c r="J43" s="16" t="n">
        <v>2.31</v>
      </c>
      <c r="K43" s="16" t="n">
        <v>2.13</v>
      </c>
      <c r="L43" s="16" t="n">
        <v>2.04</v>
      </c>
      <c r="M43" s="16" t="n">
        <v>1.94</v>
      </c>
      <c r="N43" s="16" t="n">
        <v>1.9</v>
      </c>
      <c r="O43" s="16" t="n">
        <f aca="false">INDEX($G43:$N43,1,MATCH(Inputs!$B$16,$G$4:$N$4,0))</f>
        <v>2.57</v>
      </c>
    </row>
    <row r="44" customFormat="false" ht="15" hidden="false" customHeight="false" outlineLevel="0" collapsed="false">
      <c r="A44" s="2" t="s">
        <v>159</v>
      </c>
      <c r="B44" s="2" t="s">
        <v>160</v>
      </c>
      <c r="C44" s="2" t="s">
        <v>71</v>
      </c>
      <c r="D44" s="2" t="s">
        <v>161</v>
      </c>
      <c r="E44" s="2" t="s">
        <v>162</v>
      </c>
      <c r="F44" s="2" t="s">
        <v>28</v>
      </c>
      <c r="G44" s="16" t="n">
        <v>1.2</v>
      </c>
      <c r="H44" s="16" t="n">
        <v>1.12</v>
      </c>
      <c r="I44" s="16" t="n">
        <v>1</v>
      </c>
      <c r="J44" s="16" t="n">
        <v>0.89</v>
      </c>
      <c r="K44" s="16" t="n">
        <v>0.76</v>
      </c>
      <c r="L44" s="16" t="n">
        <v>0.73</v>
      </c>
      <c r="M44" s="16" t="n">
        <v>0.69</v>
      </c>
      <c r="N44" s="16" t="n">
        <v>0.68</v>
      </c>
      <c r="O44" s="16" t="n">
        <f aca="false">INDEX($G44:$N44,1,MATCH(Inputs!$B$16,$G$4:$N$4,0))</f>
        <v>1</v>
      </c>
    </row>
    <row r="45" customFormat="false" ht="15" hidden="false" customHeight="false" outlineLevel="0" collapsed="false">
      <c r="A45" s="2" t="s">
        <v>159</v>
      </c>
      <c r="B45" s="2" t="s">
        <v>160</v>
      </c>
      <c r="C45" s="2" t="s">
        <v>71</v>
      </c>
      <c r="D45" s="2" t="s">
        <v>163</v>
      </c>
      <c r="E45" s="2" t="s">
        <v>164</v>
      </c>
      <c r="F45" s="2" t="s">
        <v>28</v>
      </c>
      <c r="G45" s="16" t="n">
        <v>1.8</v>
      </c>
      <c r="H45" s="16" t="n">
        <v>1.67</v>
      </c>
      <c r="I45" s="16" t="n">
        <v>1.49</v>
      </c>
      <c r="J45" s="16" t="n">
        <v>1.33</v>
      </c>
      <c r="K45" s="16" t="n">
        <v>1.13</v>
      </c>
      <c r="L45" s="16" t="n">
        <v>1.08</v>
      </c>
      <c r="M45" s="16" t="n">
        <v>1.03</v>
      </c>
      <c r="N45" s="16" t="n">
        <v>1.01</v>
      </c>
      <c r="O45" s="16" t="n">
        <f aca="false">INDEX($G45:$N45,1,MATCH(Inputs!$B$16,$G$4:$N$4,0))</f>
        <v>1.49</v>
      </c>
    </row>
    <row r="46" customFormat="false" ht="15" hidden="false" customHeight="false" outlineLevel="0" collapsed="false">
      <c r="A46" s="2" t="s">
        <v>159</v>
      </c>
      <c r="B46" s="2" t="s">
        <v>160</v>
      </c>
      <c r="C46" s="2" t="s">
        <v>71</v>
      </c>
      <c r="D46" s="2" t="s">
        <v>165</v>
      </c>
      <c r="E46" s="2" t="s">
        <v>166</v>
      </c>
      <c r="F46" s="2" t="s">
        <v>28</v>
      </c>
      <c r="G46" s="16" t="n">
        <v>1.9</v>
      </c>
      <c r="H46" s="16" t="n">
        <v>1.8</v>
      </c>
      <c r="I46" s="16" t="n">
        <v>1.7</v>
      </c>
      <c r="J46" s="16" t="n">
        <v>1.65</v>
      </c>
      <c r="K46" s="16" t="n">
        <v>1.6</v>
      </c>
      <c r="L46" s="16" t="n">
        <v>1.55</v>
      </c>
      <c r="M46" s="16" t="n">
        <v>1.5</v>
      </c>
      <c r="N46" s="16" t="n">
        <v>1.45</v>
      </c>
      <c r="O46" s="16" t="n">
        <f aca="false">INDEX($G46:$N46,1,MATCH(Inputs!$B$16,$G$4:$N$4,0))</f>
        <v>1.7</v>
      </c>
    </row>
    <row r="47" customFormat="false" ht="15" hidden="false" customHeight="false" outlineLevel="0" collapsed="false">
      <c r="A47" s="2" t="s">
        <v>159</v>
      </c>
      <c r="B47" s="2" t="s">
        <v>160</v>
      </c>
      <c r="C47" s="2" t="s">
        <v>71</v>
      </c>
      <c r="D47" s="2" t="s">
        <v>167</v>
      </c>
      <c r="E47" s="2" t="s">
        <v>168</v>
      </c>
      <c r="F47" s="2" t="s">
        <v>28</v>
      </c>
      <c r="G47" s="16" t="n">
        <v>3.2</v>
      </c>
      <c r="H47" s="16" t="n">
        <v>3</v>
      </c>
      <c r="I47" s="16" t="n">
        <v>2.9</v>
      </c>
      <c r="J47" s="16" t="n">
        <v>2.8</v>
      </c>
      <c r="K47" s="16" t="n">
        <v>2.7</v>
      </c>
      <c r="L47" s="16" t="n">
        <v>2.6</v>
      </c>
      <c r="M47" s="16" t="n">
        <v>2.5</v>
      </c>
      <c r="N47" s="16" t="n">
        <v>2.4</v>
      </c>
      <c r="O47" s="16" t="n">
        <f aca="false">INDEX($G47:$N47,1,MATCH(Inputs!$B$16,$G$4:$N$4,0))</f>
        <v>2.9</v>
      </c>
    </row>
    <row r="48" customFormat="false" ht="15" hidden="false" customHeight="false" outlineLevel="0" collapsed="false">
      <c r="A48" s="2" t="s">
        <v>159</v>
      </c>
      <c r="B48" s="2" t="s">
        <v>160</v>
      </c>
      <c r="C48" s="2" t="s">
        <v>71</v>
      </c>
      <c r="D48" s="2" t="s">
        <v>169</v>
      </c>
      <c r="E48" s="2" t="s">
        <v>170</v>
      </c>
      <c r="F48" s="2" t="s">
        <v>28</v>
      </c>
      <c r="G48" s="16" t="n">
        <v>2.4</v>
      </c>
      <c r="H48" s="16" t="n">
        <v>2.3</v>
      </c>
      <c r="I48" s="16" t="n">
        <v>2.2</v>
      </c>
      <c r="J48" s="16" t="n">
        <v>2.15</v>
      </c>
      <c r="K48" s="16" t="n">
        <v>2.1</v>
      </c>
      <c r="L48" s="16" t="n">
        <v>2.05</v>
      </c>
      <c r="M48" s="16" t="n">
        <v>2</v>
      </c>
      <c r="N48" s="16" t="n">
        <v>1.95</v>
      </c>
      <c r="O48" s="16" t="n">
        <f aca="false">INDEX($G48:$N48,1,MATCH(Inputs!$B$16,$G$4:$N$4,0))</f>
        <v>2.2</v>
      </c>
    </row>
    <row r="49" customFormat="false" ht="15" hidden="false" customHeight="false" outlineLevel="0" collapsed="false">
      <c r="A49" s="2" t="s">
        <v>159</v>
      </c>
      <c r="B49" s="2" t="s">
        <v>160</v>
      </c>
      <c r="C49" s="2" t="s">
        <v>71</v>
      </c>
      <c r="D49" s="2" t="s">
        <v>171</v>
      </c>
      <c r="E49" s="2" t="s">
        <v>172</v>
      </c>
      <c r="F49" s="2" t="s">
        <v>28</v>
      </c>
      <c r="G49" s="16" t="n">
        <v>3.7</v>
      </c>
      <c r="H49" s="16" t="n">
        <v>3.5</v>
      </c>
      <c r="I49" s="16" t="n">
        <v>3.4</v>
      </c>
      <c r="J49" s="16" t="n">
        <v>3.3</v>
      </c>
      <c r="K49" s="16" t="n">
        <v>3.2</v>
      </c>
      <c r="L49" s="16" t="n">
        <v>3.1</v>
      </c>
      <c r="M49" s="16" t="n">
        <v>3</v>
      </c>
      <c r="N49" s="16" t="n">
        <v>2.9</v>
      </c>
      <c r="O49" s="16" t="n">
        <f aca="false">INDEX($G49:$N49,1,MATCH(Inputs!$B$16,$G$4:$N$4,0))</f>
        <v>3.4</v>
      </c>
    </row>
    <row r="50" customFormat="false" ht="15" hidden="false" customHeight="false" outlineLevel="0" collapsed="false">
      <c r="A50" s="2" t="s">
        <v>159</v>
      </c>
      <c r="B50" s="2" t="s">
        <v>160</v>
      </c>
      <c r="C50" s="2" t="s">
        <v>71</v>
      </c>
      <c r="D50" s="2" t="s">
        <v>173</v>
      </c>
      <c r="E50" s="2" t="s">
        <v>174</v>
      </c>
      <c r="F50" s="2" t="s">
        <v>28</v>
      </c>
      <c r="G50" s="16" t="n">
        <v>3.2</v>
      </c>
      <c r="H50" s="16" t="n">
        <v>3.1</v>
      </c>
      <c r="I50" s="16" t="n">
        <v>3</v>
      </c>
      <c r="J50" s="16" t="n">
        <v>2.9</v>
      </c>
      <c r="K50" s="16" t="n">
        <v>2.8</v>
      </c>
      <c r="L50" s="16" t="n">
        <v>2.78</v>
      </c>
      <c r="M50" s="16" t="n">
        <v>2.75</v>
      </c>
      <c r="N50" s="16" t="n">
        <v>2.69</v>
      </c>
      <c r="O50" s="16" t="n">
        <f aca="false">INDEX($G50:$N50,1,MATCH(Inputs!$B$16,$G$4:$N$4,0))</f>
        <v>3</v>
      </c>
    </row>
    <row r="51" customFormat="false" ht="15" hidden="false" customHeight="false" outlineLevel="0" collapsed="false">
      <c r="A51" s="2" t="s">
        <v>159</v>
      </c>
      <c r="B51" s="2" t="s">
        <v>160</v>
      </c>
      <c r="C51" s="2" t="s">
        <v>71</v>
      </c>
      <c r="D51" s="2" t="s">
        <v>175</v>
      </c>
      <c r="E51" s="2" t="s">
        <v>176</v>
      </c>
      <c r="F51" s="2" t="s">
        <v>28</v>
      </c>
      <c r="G51" s="16" t="n">
        <v>6.4</v>
      </c>
      <c r="H51" s="16" t="n">
        <v>6.2</v>
      </c>
      <c r="I51" s="16" t="n">
        <v>6</v>
      </c>
      <c r="J51" s="16" t="n">
        <v>5.8</v>
      </c>
      <c r="K51" s="16" t="n">
        <v>5.6</v>
      </c>
      <c r="L51" s="16" t="n">
        <v>5.55</v>
      </c>
      <c r="M51" s="16" t="n">
        <v>5.5</v>
      </c>
      <c r="N51" s="16" t="n">
        <v>5.37</v>
      </c>
      <c r="O51" s="16" t="n">
        <f aca="false">INDEX($G51:$N51,1,MATCH(Inputs!$B$16,$G$4:$N$4,0))</f>
        <v>6</v>
      </c>
    </row>
    <row r="52" customFormat="false" ht="15" hidden="false" customHeight="false" outlineLevel="0" collapsed="false">
      <c r="A52" s="2" t="s">
        <v>159</v>
      </c>
      <c r="B52" s="2" t="s">
        <v>160</v>
      </c>
      <c r="C52" s="2" t="s">
        <v>71</v>
      </c>
      <c r="D52" s="2" t="s">
        <v>177</v>
      </c>
      <c r="E52" s="2" t="s">
        <v>178</v>
      </c>
      <c r="F52" s="2" t="s">
        <v>28</v>
      </c>
      <c r="G52" s="16" t="n">
        <v>1</v>
      </c>
      <c r="H52" s="16" t="n">
        <v>0.94</v>
      </c>
      <c r="I52" s="16" t="n">
        <v>0.89</v>
      </c>
      <c r="J52" s="16" t="n">
        <v>0.84</v>
      </c>
      <c r="K52" s="16" t="n">
        <v>0.76</v>
      </c>
      <c r="L52" s="16" t="n">
        <v>0.73</v>
      </c>
      <c r="M52" s="16" t="n">
        <v>0.69</v>
      </c>
      <c r="N52" s="16" t="n">
        <v>0.68</v>
      </c>
      <c r="O52" s="16" t="n">
        <f aca="false">INDEX($G52:$N52,1,MATCH(Inputs!$B$16,$G$4:$N$4,0))</f>
        <v>0.89</v>
      </c>
    </row>
    <row r="53" customFormat="false" ht="15" hidden="false" customHeight="false" outlineLevel="0" collapsed="false">
      <c r="A53" s="2" t="s">
        <v>159</v>
      </c>
      <c r="B53" s="2" t="s">
        <v>160</v>
      </c>
      <c r="C53" s="2" t="s">
        <v>71</v>
      </c>
      <c r="D53" s="2" t="s">
        <v>179</v>
      </c>
      <c r="E53" s="2" t="s">
        <v>180</v>
      </c>
      <c r="F53" s="2" t="s">
        <v>28</v>
      </c>
      <c r="G53" s="16" t="n">
        <v>2.5</v>
      </c>
      <c r="H53" s="16" t="n">
        <v>2.33</v>
      </c>
      <c r="I53" s="16" t="n">
        <v>2.14</v>
      </c>
      <c r="J53" s="16" t="n">
        <v>1.93</v>
      </c>
      <c r="K53" s="16" t="n">
        <v>1.78</v>
      </c>
      <c r="L53" s="16" t="n">
        <v>1.71</v>
      </c>
      <c r="M53" s="16" t="n">
        <v>1.62</v>
      </c>
      <c r="N53" s="16" t="n">
        <v>1.59</v>
      </c>
      <c r="O53" s="16" t="n">
        <f aca="false">INDEX($G53:$N53,1,MATCH(Inputs!$B$16,$G$4:$N$4,0))</f>
        <v>2.14</v>
      </c>
    </row>
    <row r="54" customFormat="false" ht="15" hidden="false" customHeight="false" outlineLevel="0" collapsed="false">
      <c r="A54" s="2" t="s">
        <v>159</v>
      </c>
      <c r="B54" s="2" t="s">
        <v>181</v>
      </c>
      <c r="C54" s="2" t="s">
        <v>71</v>
      </c>
      <c r="D54" s="2" t="s">
        <v>182</v>
      </c>
      <c r="E54" s="2" t="s">
        <v>183</v>
      </c>
      <c r="F54" s="2" t="s">
        <v>28</v>
      </c>
      <c r="G54" s="16" t="n">
        <v>2.4</v>
      </c>
      <c r="H54" s="16" t="n">
        <v>2.33</v>
      </c>
      <c r="I54" s="16" t="n">
        <v>2.26</v>
      </c>
      <c r="J54" s="16" t="n">
        <v>2.15</v>
      </c>
      <c r="K54" s="16" t="n">
        <v>2.04</v>
      </c>
      <c r="L54" s="16" t="n">
        <v>1.96</v>
      </c>
      <c r="M54" s="16" t="n">
        <v>1.88</v>
      </c>
      <c r="N54" s="16" t="n">
        <v>1.84</v>
      </c>
      <c r="O54" s="16" t="n">
        <f aca="false">INDEX($G54:$N54,1,MATCH(Inputs!$B$16,$G$4:$N$4,0))</f>
        <v>2.26</v>
      </c>
    </row>
    <row r="55" customFormat="false" ht="15" hidden="false" customHeight="false" outlineLevel="0" collapsed="false">
      <c r="A55" s="2" t="s">
        <v>159</v>
      </c>
      <c r="B55" s="2" t="s">
        <v>181</v>
      </c>
      <c r="C55" s="2" t="s">
        <v>71</v>
      </c>
      <c r="D55" s="2" t="s">
        <v>184</v>
      </c>
      <c r="E55" s="2" t="s">
        <v>185</v>
      </c>
      <c r="F55" s="2" t="s">
        <v>28</v>
      </c>
      <c r="G55" s="16" t="n">
        <v>1.3</v>
      </c>
      <c r="H55" s="16" t="n">
        <v>1.26</v>
      </c>
      <c r="I55" s="16" t="n">
        <v>1.22</v>
      </c>
      <c r="J55" s="16" t="n">
        <v>1.16</v>
      </c>
      <c r="K55" s="16" t="n">
        <v>1.1</v>
      </c>
      <c r="L55" s="16" t="n">
        <v>1.06</v>
      </c>
      <c r="M55" s="16" t="n">
        <v>1.02</v>
      </c>
      <c r="N55" s="16" t="n">
        <v>1</v>
      </c>
      <c r="O55" s="16" t="n">
        <f aca="false">INDEX($G55:$N55,1,MATCH(Inputs!$B$16,$G$4:$N$4,0))</f>
        <v>1.22</v>
      </c>
    </row>
    <row r="56" customFormat="false" ht="15" hidden="false" customHeight="false" outlineLevel="0" collapsed="false">
      <c r="A56" s="2" t="s">
        <v>159</v>
      </c>
      <c r="B56" s="2" t="s">
        <v>181</v>
      </c>
      <c r="C56" s="2" t="s">
        <v>71</v>
      </c>
      <c r="D56" s="2" t="s">
        <v>186</v>
      </c>
      <c r="E56" s="2" t="s">
        <v>187</v>
      </c>
      <c r="F56" s="2" t="s">
        <v>28</v>
      </c>
      <c r="G56" s="16" t="n">
        <v>1.2</v>
      </c>
      <c r="H56" s="16" t="n">
        <v>1.16</v>
      </c>
      <c r="I56" s="16" t="n">
        <v>1.13</v>
      </c>
      <c r="J56" s="16" t="n">
        <v>1.07</v>
      </c>
      <c r="K56" s="16" t="n">
        <v>1.02</v>
      </c>
      <c r="L56" s="16" t="n">
        <v>0.98</v>
      </c>
      <c r="M56" s="16" t="n">
        <v>0.94</v>
      </c>
      <c r="N56" s="16" t="n">
        <v>0.92</v>
      </c>
      <c r="O56" s="16" t="n">
        <f aca="false">INDEX($G56:$N56,1,MATCH(Inputs!$B$16,$G$4:$N$4,0))</f>
        <v>1.13</v>
      </c>
    </row>
    <row r="57" customFormat="false" ht="15" hidden="false" customHeight="false" outlineLevel="0" collapsed="false">
      <c r="A57" s="2" t="s">
        <v>159</v>
      </c>
      <c r="B57" s="2" t="s">
        <v>139</v>
      </c>
      <c r="C57" s="2" t="s">
        <v>71</v>
      </c>
      <c r="D57" s="2" t="s">
        <v>188</v>
      </c>
      <c r="E57" s="2" t="s">
        <v>189</v>
      </c>
      <c r="F57" s="2" t="s">
        <v>28</v>
      </c>
      <c r="G57" s="16" t="n">
        <v>1.4</v>
      </c>
      <c r="H57" s="16" t="n">
        <v>1.33</v>
      </c>
      <c r="I57" s="16" t="n">
        <v>1.24</v>
      </c>
      <c r="J57" s="16" t="n">
        <v>1.12</v>
      </c>
      <c r="K57" s="16" t="n">
        <v>1.03</v>
      </c>
      <c r="L57" s="16" t="n">
        <v>0.99</v>
      </c>
      <c r="M57" s="16" t="n">
        <v>0.95</v>
      </c>
      <c r="N57" s="16" t="n">
        <v>0.93</v>
      </c>
      <c r="O57" s="16" t="n">
        <f aca="false">INDEX($G57:$N57,1,MATCH(Inputs!$B$16,$G$4:$N$4,0))</f>
        <v>1.24</v>
      </c>
    </row>
    <row r="58" customFormat="false" ht="15" hidden="false" customHeight="false" outlineLevel="0" collapsed="false">
      <c r="A58" s="2" t="s">
        <v>159</v>
      </c>
      <c r="B58" s="2" t="s">
        <v>190</v>
      </c>
      <c r="C58" s="2" t="s">
        <v>71</v>
      </c>
      <c r="D58" s="2" t="s">
        <v>191</v>
      </c>
      <c r="E58" s="2" t="s">
        <v>192</v>
      </c>
      <c r="F58" s="2" t="s">
        <v>34</v>
      </c>
      <c r="G58" s="16" t="n">
        <v>1.9</v>
      </c>
      <c r="H58" s="16" t="n">
        <v>1.77</v>
      </c>
      <c r="I58" s="16" t="n">
        <v>1.56</v>
      </c>
      <c r="J58" s="16" t="n">
        <v>1.36</v>
      </c>
      <c r="K58" s="16" t="n">
        <v>1.13</v>
      </c>
      <c r="L58" s="16" t="n">
        <v>1.08</v>
      </c>
      <c r="M58" s="16" t="n">
        <v>1.03</v>
      </c>
      <c r="N58" s="16" t="n">
        <v>1.01</v>
      </c>
      <c r="O58" s="16" t="n">
        <f aca="false">INDEX($G58:$N58,1,MATCH(Inputs!$B$16,$G$4:$N$4,0))</f>
        <v>1.56</v>
      </c>
    </row>
    <row r="59" customFormat="false" ht="15" hidden="false" customHeight="false" outlineLevel="0" collapsed="false">
      <c r="A59" s="2" t="s">
        <v>159</v>
      </c>
      <c r="B59" s="2" t="s">
        <v>193</v>
      </c>
      <c r="C59" s="2" t="s">
        <v>71</v>
      </c>
      <c r="D59" s="2" t="s">
        <v>194</v>
      </c>
      <c r="E59" s="2" t="s">
        <v>195</v>
      </c>
      <c r="F59" s="2" t="s">
        <v>34</v>
      </c>
      <c r="G59" s="16" t="n">
        <v>50</v>
      </c>
      <c r="H59" s="16" t="n">
        <v>48</v>
      </c>
      <c r="I59" s="16" t="n">
        <v>46</v>
      </c>
      <c r="J59" s="16" t="n">
        <v>44</v>
      </c>
      <c r="K59" s="16" t="n">
        <v>42</v>
      </c>
      <c r="L59" s="16" t="n">
        <v>41</v>
      </c>
      <c r="M59" s="16" t="n">
        <v>40</v>
      </c>
      <c r="N59" s="16" t="n">
        <v>39</v>
      </c>
      <c r="O59" s="16" t="n">
        <f aca="false">INDEX($G59:$N59,1,MATCH(Inputs!$B$16,$G$4:$N$4,0))</f>
        <v>46</v>
      </c>
    </row>
    <row r="60" customFormat="false" ht="15" hidden="false" customHeight="false" outlineLevel="0" collapsed="false">
      <c r="A60" s="2" t="s">
        <v>159</v>
      </c>
      <c r="B60" s="2" t="s">
        <v>196</v>
      </c>
      <c r="C60" s="2" t="s">
        <v>71</v>
      </c>
      <c r="D60" s="2" t="s">
        <v>197</v>
      </c>
      <c r="E60" s="2" t="s">
        <v>198</v>
      </c>
      <c r="F60" s="2" t="s">
        <v>30</v>
      </c>
      <c r="G60" s="16" t="n">
        <v>25</v>
      </c>
      <c r="H60" s="16" t="n">
        <v>22.75</v>
      </c>
      <c r="I60" s="16" t="n">
        <v>19.79</v>
      </c>
      <c r="J60" s="16" t="n">
        <v>17.61</v>
      </c>
      <c r="K60" s="16" t="n">
        <v>15.85</v>
      </c>
      <c r="L60" s="16" t="n">
        <v>15.22</v>
      </c>
      <c r="M60" s="16" t="n">
        <v>14.61</v>
      </c>
      <c r="N60" s="16" t="n">
        <v>14.03</v>
      </c>
      <c r="O60" s="16" t="n">
        <f aca="false">INDEX($G60:$N60,1,MATCH(Inputs!$B$16,$G$4:$N$4,0))</f>
        <v>19.79</v>
      </c>
    </row>
    <row r="61" customFormat="false" ht="15" hidden="false" customHeight="false" outlineLevel="0" collapsed="false">
      <c r="A61" s="2" t="s">
        <v>159</v>
      </c>
      <c r="B61" s="2" t="s">
        <v>196</v>
      </c>
      <c r="C61" s="2" t="s">
        <v>71</v>
      </c>
      <c r="D61" s="2" t="s">
        <v>199</v>
      </c>
      <c r="E61" s="2" t="s">
        <v>200</v>
      </c>
      <c r="F61" s="2" t="s">
        <v>30</v>
      </c>
      <c r="G61" s="16" t="n">
        <v>17</v>
      </c>
      <c r="H61" s="16" t="n">
        <v>15.47</v>
      </c>
      <c r="I61" s="16" t="n">
        <v>13.46</v>
      </c>
      <c r="J61" s="16" t="n">
        <v>11.98</v>
      </c>
      <c r="K61" s="16" t="n">
        <v>10.78</v>
      </c>
      <c r="L61" s="16" t="n">
        <v>10.35</v>
      </c>
      <c r="M61" s="16" t="n">
        <v>9.94</v>
      </c>
      <c r="N61" s="16" t="n">
        <v>9.54</v>
      </c>
      <c r="O61" s="16" t="n">
        <f aca="false">INDEX($G61:$N61,1,MATCH(Inputs!$B$16,$G$4:$N$4,0))</f>
        <v>13.46</v>
      </c>
    </row>
    <row r="62" customFormat="false" ht="15" hidden="false" customHeight="false" outlineLevel="0" collapsed="false">
      <c r="A62" s="2" t="s">
        <v>159</v>
      </c>
      <c r="B62" s="2" t="s">
        <v>196</v>
      </c>
      <c r="C62" s="2" t="s">
        <v>71</v>
      </c>
      <c r="D62" s="2" t="s">
        <v>201</v>
      </c>
      <c r="E62" s="2" t="s">
        <v>202</v>
      </c>
      <c r="F62" s="2" t="s">
        <v>30</v>
      </c>
      <c r="G62" s="16" t="n">
        <v>8.8</v>
      </c>
      <c r="H62" s="16" t="n">
        <v>8.01</v>
      </c>
      <c r="I62" s="16" t="n">
        <v>6.97</v>
      </c>
      <c r="J62" s="16" t="n">
        <v>6.2</v>
      </c>
      <c r="K62" s="16" t="n">
        <v>5.58</v>
      </c>
      <c r="L62" s="16" t="n">
        <v>5.36</v>
      </c>
      <c r="M62" s="16" t="n">
        <v>5.15</v>
      </c>
      <c r="N62" s="16" t="n">
        <v>4.94</v>
      </c>
      <c r="O62" s="16" t="n">
        <f aca="false">INDEX($G62:$N62,1,MATCH(Inputs!$B$16,$G$4:$N$4,0))</f>
        <v>6.97</v>
      </c>
    </row>
    <row r="63" customFormat="false" ht="15" hidden="false" customHeight="false" outlineLevel="0" collapsed="false">
      <c r="A63" s="2" t="s">
        <v>159</v>
      </c>
      <c r="B63" s="2" t="s">
        <v>196</v>
      </c>
      <c r="C63" s="2" t="s">
        <v>71</v>
      </c>
      <c r="D63" s="2" t="s">
        <v>203</v>
      </c>
      <c r="E63" s="2" t="s">
        <v>204</v>
      </c>
      <c r="F63" s="2" t="s">
        <v>30</v>
      </c>
      <c r="G63" s="16" t="n">
        <v>4.1</v>
      </c>
      <c r="H63" s="16" t="n">
        <v>3.73</v>
      </c>
      <c r="I63" s="16" t="n">
        <v>3.25</v>
      </c>
      <c r="J63" s="16" t="n">
        <v>2.89</v>
      </c>
      <c r="K63" s="16" t="n">
        <v>2.6</v>
      </c>
      <c r="L63" s="16" t="n">
        <v>2.5</v>
      </c>
      <c r="M63" s="16" t="n">
        <v>2.4</v>
      </c>
      <c r="N63" s="16" t="n">
        <v>2.3</v>
      </c>
      <c r="O63" s="16" t="n">
        <f aca="false">INDEX($G63:$N63,1,MATCH(Inputs!$B$16,$G$4:$N$4,0))</f>
        <v>3.25</v>
      </c>
    </row>
    <row r="64" customFormat="false" ht="15" hidden="false" customHeight="false" outlineLevel="0" collapsed="false">
      <c r="A64" s="2" t="s">
        <v>159</v>
      </c>
      <c r="B64" s="2" t="s">
        <v>196</v>
      </c>
      <c r="C64" s="2" t="s">
        <v>71</v>
      </c>
      <c r="D64" s="2" t="s">
        <v>205</v>
      </c>
      <c r="E64" s="2" t="s">
        <v>206</v>
      </c>
      <c r="F64" s="2" t="s">
        <v>30</v>
      </c>
      <c r="G64" s="16" t="n">
        <v>4.5</v>
      </c>
      <c r="H64" s="16" t="n">
        <v>4.1</v>
      </c>
      <c r="I64" s="16" t="n">
        <v>3.57</v>
      </c>
      <c r="J64" s="16" t="n">
        <v>3.18</v>
      </c>
      <c r="K64" s="16" t="n">
        <v>2.86</v>
      </c>
      <c r="L64" s="16" t="n">
        <v>2.75</v>
      </c>
      <c r="M64" s="16" t="n">
        <v>2.64</v>
      </c>
      <c r="N64" s="16" t="n">
        <v>2.53</v>
      </c>
      <c r="O64" s="16" t="n">
        <f aca="false">INDEX($G64:$N64,1,MATCH(Inputs!$B$16,$G$4:$N$4,0))</f>
        <v>3.57</v>
      </c>
    </row>
    <row r="65" customFormat="false" ht="15" hidden="false" customHeight="false" outlineLevel="0" collapsed="false">
      <c r="A65" s="2" t="s">
        <v>159</v>
      </c>
      <c r="B65" s="2" t="s">
        <v>196</v>
      </c>
      <c r="C65" s="2" t="s">
        <v>79</v>
      </c>
      <c r="D65" s="2" t="s">
        <v>207</v>
      </c>
      <c r="E65" s="2" t="s">
        <v>208</v>
      </c>
      <c r="F65" s="2" t="s">
        <v>32</v>
      </c>
      <c r="G65" s="16" t="n">
        <v>2.4</v>
      </c>
      <c r="H65" s="16" t="n">
        <v>2.28</v>
      </c>
      <c r="I65" s="16" t="n">
        <v>2.12</v>
      </c>
      <c r="J65" s="16" t="n">
        <v>1.91</v>
      </c>
      <c r="K65" s="16" t="n">
        <v>1.76</v>
      </c>
      <c r="L65" s="16" t="n">
        <v>1.69</v>
      </c>
      <c r="M65" s="16" t="n">
        <v>1.62</v>
      </c>
      <c r="N65" s="16" t="n">
        <v>1.59</v>
      </c>
      <c r="O65" s="16" t="n">
        <f aca="false">INDEX($G65:$N65,1,MATCH(Inputs!$B$16,$G$4:$N$4,0))</f>
        <v>2.12</v>
      </c>
    </row>
    <row r="66" customFormat="false" ht="15" hidden="false" customHeight="false" outlineLevel="0" collapsed="false">
      <c r="A66" s="2" t="s">
        <v>159</v>
      </c>
      <c r="B66" s="2" t="s">
        <v>196</v>
      </c>
      <c r="C66" s="2" t="s">
        <v>92</v>
      </c>
      <c r="D66" s="2" t="s">
        <v>209</v>
      </c>
      <c r="E66" s="2" t="s">
        <v>210</v>
      </c>
      <c r="F66" s="2" t="s">
        <v>32</v>
      </c>
      <c r="G66" s="16" t="n">
        <v>3.22</v>
      </c>
      <c r="H66" s="16" t="n">
        <v>3.06</v>
      </c>
      <c r="I66" s="16" t="n">
        <v>2.85</v>
      </c>
      <c r="J66" s="16" t="n">
        <v>2.57</v>
      </c>
      <c r="K66" s="16" t="n">
        <v>2.36</v>
      </c>
      <c r="L66" s="16" t="n">
        <v>2.27</v>
      </c>
      <c r="M66" s="16" t="n">
        <v>2.18</v>
      </c>
      <c r="N66" s="16" t="n">
        <v>2.14</v>
      </c>
      <c r="O66" s="16" t="n">
        <f aca="false">INDEX($G66:$N66,1,MATCH(Inputs!$B$16,$G$4:$N$4,0))</f>
        <v>2.85</v>
      </c>
    </row>
    <row r="67" customFormat="false" ht="15" hidden="false" customHeight="false" outlineLevel="0" collapsed="false">
      <c r="A67" s="2" t="s">
        <v>159</v>
      </c>
      <c r="B67" s="2" t="s">
        <v>196</v>
      </c>
      <c r="C67" s="2" t="s">
        <v>71</v>
      </c>
      <c r="D67" s="2" t="s">
        <v>211</v>
      </c>
      <c r="E67" s="2" t="s">
        <v>212</v>
      </c>
      <c r="F67" s="2" t="s">
        <v>32</v>
      </c>
      <c r="G67" s="16" t="n">
        <v>1.45</v>
      </c>
      <c r="H67" s="16" t="n">
        <v>1.35</v>
      </c>
      <c r="I67" s="16" t="n">
        <v>1.24</v>
      </c>
      <c r="J67" s="16" t="n">
        <v>1.05</v>
      </c>
      <c r="K67" s="16" t="n">
        <v>0.86</v>
      </c>
      <c r="L67" s="16" t="n">
        <v>0.79</v>
      </c>
      <c r="M67" s="16" t="n">
        <v>0.751</v>
      </c>
      <c r="N67" s="16" t="n">
        <v>0.736</v>
      </c>
      <c r="O67" s="16" t="n">
        <f aca="false">INDEX($G67:$N67,1,MATCH(Inputs!$B$16,$G$4:$N$4,0))</f>
        <v>1.24</v>
      </c>
    </row>
    <row r="68" customFormat="false" ht="15" hidden="false" customHeight="false" outlineLevel="0" collapsed="false">
      <c r="A68" s="2" t="s">
        <v>159</v>
      </c>
      <c r="B68" s="2" t="s">
        <v>196</v>
      </c>
      <c r="C68" s="2" t="s">
        <v>71</v>
      </c>
      <c r="D68" s="2" t="s">
        <v>213</v>
      </c>
      <c r="E68" s="2" t="s">
        <v>214</v>
      </c>
      <c r="F68" s="2" t="s">
        <v>32</v>
      </c>
      <c r="G68" s="16" t="n">
        <v>0.6</v>
      </c>
      <c r="H68" s="16" t="n">
        <v>0.57</v>
      </c>
      <c r="I68" s="16" t="n">
        <v>0.53</v>
      </c>
      <c r="J68" s="16" t="n">
        <v>0.49</v>
      </c>
      <c r="K68" s="16" t="n">
        <v>0.45</v>
      </c>
      <c r="L68" s="16" t="n">
        <v>0.43</v>
      </c>
      <c r="M68" s="16" t="n">
        <v>0.41</v>
      </c>
      <c r="N68" s="16" t="n">
        <v>0.4</v>
      </c>
      <c r="O68" s="16" t="n">
        <f aca="false">INDEX($G68:$N68,1,MATCH(Inputs!$B$16,$G$4:$N$4,0))</f>
        <v>0.53</v>
      </c>
    </row>
    <row r="69" customFormat="false" ht="15" hidden="false" customHeight="false" outlineLevel="0" collapsed="false">
      <c r="A69" s="2" t="s">
        <v>159</v>
      </c>
      <c r="B69" s="2" t="s">
        <v>196</v>
      </c>
      <c r="C69" s="2" t="s">
        <v>71</v>
      </c>
      <c r="D69" s="2" t="s">
        <v>215</v>
      </c>
      <c r="E69" s="2" t="s">
        <v>216</v>
      </c>
      <c r="F69" s="2" t="s">
        <v>32</v>
      </c>
      <c r="G69" s="16" t="n">
        <v>0.36</v>
      </c>
      <c r="H69" s="16" t="n">
        <v>0.34</v>
      </c>
      <c r="I69" s="16" t="n">
        <v>0.31</v>
      </c>
      <c r="J69" s="16" t="n">
        <v>0.27</v>
      </c>
      <c r="K69" s="16" t="n">
        <v>0.23</v>
      </c>
      <c r="L69" s="16" t="n">
        <v>0.21</v>
      </c>
      <c r="M69" s="16" t="n">
        <v>0.2</v>
      </c>
      <c r="N69" s="16" t="n">
        <v>0.19</v>
      </c>
      <c r="O69" s="16" t="n">
        <f aca="false">INDEX($G69:$N69,1,MATCH(Inputs!$B$16,$G$4:$N$4,0))</f>
        <v>0.31</v>
      </c>
    </row>
    <row r="70" customFormat="false" ht="15" hidden="false" customHeight="false" outlineLevel="0" collapsed="false">
      <c r="A70" s="2" t="s">
        <v>159</v>
      </c>
      <c r="B70" s="2" t="s">
        <v>196</v>
      </c>
      <c r="C70" s="2" t="s">
        <v>79</v>
      </c>
      <c r="D70" s="2" t="s">
        <v>217</v>
      </c>
      <c r="E70" s="2" t="s">
        <v>218</v>
      </c>
      <c r="F70" s="2" t="s">
        <v>32</v>
      </c>
      <c r="G70" s="16" t="n">
        <v>2.4</v>
      </c>
      <c r="H70" s="16" t="n">
        <v>2.28</v>
      </c>
      <c r="I70" s="16" t="n">
        <v>2.12</v>
      </c>
      <c r="J70" s="16" t="n">
        <v>1.91</v>
      </c>
      <c r="K70" s="16" t="n">
        <v>1.76</v>
      </c>
      <c r="L70" s="16" t="n">
        <v>1.69</v>
      </c>
      <c r="M70" s="16" t="n">
        <v>1.62</v>
      </c>
      <c r="N70" s="16" t="n">
        <v>1.59</v>
      </c>
      <c r="O70" s="16" t="n">
        <f aca="false">INDEX($G70:$N70,1,MATCH(Inputs!$B$16,$G$4:$N$4,0))</f>
        <v>2.12</v>
      </c>
    </row>
    <row r="71" customFormat="false" ht="15" hidden="false" customHeight="false" outlineLevel="0" collapsed="false">
      <c r="A71" s="2" t="s">
        <v>159</v>
      </c>
      <c r="B71" s="2" t="s">
        <v>196</v>
      </c>
      <c r="C71" s="2" t="s">
        <v>92</v>
      </c>
      <c r="D71" s="2" t="s">
        <v>219</v>
      </c>
      <c r="E71" s="2" t="s">
        <v>220</v>
      </c>
      <c r="F71" s="2" t="s">
        <v>32</v>
      </c>
      <c r="G71" s="16" t="n">
        <v>3.22</v>
      </c>
      <c r="H71" s="16" t="n">
        <v>3.06</v>
      </c>
      <c r="I71" s="16" t="n">
        <v>2.85</v>
      </c>
      <c r="J71" s="16" t="n">
        <v>2.57</v>
      </c>
      <c r="K71" s="16" t="n">
        <v>2.36</v>
      </c>
      <c r="L71" s="16" t="n">
        <v>2.27</v>
      </c>
      <c r="M71" s="16" t="n">
        <v>2.18</v>
      </c>
      <c r="N71" s="16" t="n">
        <v>2.14</v>
      </c>
      <c r="O71" s="16" t="n">
        <f aca="false">INDEX($G71:$N71,1,MATCH(Inputs!$B$16,$G$4:$N$4,0))</f>
        <v>2.85</v>
      </c>
    </row>
    <row r="72" customFormat="false" ht="15" hidden="false" customHeight="false" outlineLevel="0" collapsed="false">
      <c r="A72" s="2" t="s">
        <v>159</v>
      </c>
      <c r="B72" s="2" t="s">
        <v>196</v>
      </c>
      <c r="C72" s="2" t="s">
        <v>71</v>
      </c>
      <c r="D72" s="2" t="s">
        <v>221</v>
      </c>
      <c r="E72" s="2" t="s">
        <v>222</v>
      </c>
      <c r="F72" s="2" t="s">
        <v>32</v>
      </c>
      <c r="G72" s="16" t="n">
        <v>1.45</v>
      </c>
      <c r="H72" s="16" t="n">
        <v>1.35</v>
      </c>
      <c r="I72" s="16" t="n">
        <v>1.24</v>
      </c>
      <c r="J72" s="16" t="n">
        <v>1.05</v>
      </c>
      <c r="K72" s="16" t="n">
        <v>0.86</v>
      </c>
      <c r="L72" s="16" t="n">
        <v>0.79</v>
      </c>
      <c r="M72" s="16" t="n">
        <v>0.751</v>
      </c>
      <c r="N72" s="16" t="n">
        <v>0.736</v>
      </c>
      <c r="O72" s="16" t="n">
        <f aca="false">INDEX($G72:$N72,1,MATCH(Inputs!$B$16,$G$4:$N$4,0))</f>
        <v>1.24</v>
      </c>
    </row>
    <row r="73" customFormat="false" ht="15" hidden="false" customHeight="false" outlineLevel="0" collapsed="false">
      <c r="A73" s="2" t="s">
        <v>159</v>
      </c>
      <c r="B73" s="2" t="s">
        <v>196</v>
      </c>
      <c r="C73" s="2" t="s">
        <v>71</v>
      </c>
      <c r="D73" s="2" t="s">
        <v>223</v>
      </c>
      <c r="E73" s="2" t="s">
        <v>224</v>
      </c>
      <c r="F73" s="2" t="s">
        <v>30</v>
      </c>
      <c r="G73" s="16" t="n">
        <v>1</v>
      </c>
      <c r="H73" s="16" t="n">
        <v>0.92</v>
      </c>
      <c r="I73" s="16" t="n">
        <v>0.83</v>
      </c>
      <c r="J73" s="16" t="n">
        <v>0.68</v>
      </c>
      <c r="K73" s="16" t="n">
        <v>0.56</v>
      </c>
      <c r="L73" s="16" t="n">
        <v>0.54</v>
      </c>
      <c r="M73" s="16" t="n">
        <v>0.52</v>
      </c>
      <c r="N73" s="16" t="n">
        <v>0.5</v>
      </c>
      <c r="O73" s="16" t="n">
        <f aca="false">INDEX($G73:$N73,1,MATCH(Inputs!$B$16,$G$4:$N$4,0))</f>
        <v>0.83</v>
      </c>
    </row>
    <row r="74" customFormat="false" ht="15" hidden="false" customHeight="false" outlineLevel="0" collapsed="false">
      <c r="A74" s="2" t="s">
        <v>159</v>
      </c>
      <c r="B74" s="2" t="s">
        <v>196</v>
      </c>
      <c r="C74" s="2" t="s">
        <v>79</v>
      </c>
      <c r="D74" s="2" t="s">
        <v>225</v>
      </c>
      <c r="E74" s="2" t="s">
        <v>226</v>
      </c>
      <c r="F74" s="2" t="s">
        <v>32</v>
      </c>
      <c r="G74" s="16" t="n">
        <v>0.0435</v>
      </c>
      <c r="H74" s="16" t="n">
        <v>0.0387</v>
      </c>
      <c r="I74" s="16" t="n">
        <v>0.0341</v>
      </c>
      <c r="J74" s="16" t="n">
        <v>0.0286</v>
      </c>
      <c r="K74" s="16" t="n">
        <v>0.0232</v>
      </c>
      <c r="L74" s="16" t="n">
        <v>0.0218</v>
      </c>
      <c r="M74" s="16" t="n">
        <v>0.0209</v>
      </c>
      <c r="N74" s="16" t="n">
        <v>0.0203</v>
      </c>
      <c r="O74" s="16" t="n">
        <f aca="false">INDEX($G74:$N74,1,MATCH(Inputs!$B$16,$G$4:$N$4,0))</f>
        <v>0.0341</v>
      </c>
    </row>
    <row r="75" customFormat="false" ht="15" hidden="false" customHeight="false" outlineLevel="0" collapsed="false">
      <c r="A75" s="2" t="s">
        <v>159</v>
      </c>
      <c r="B75" s="2" t="s">
        <v>196</v>
      </c>
      <c r="C75" s="2" t="s">
        <v>92</v>
      </c>
      <c r="D75" s="2" t="s">
        <v>227</v>
      </c>
      <c r="E75" s="2" t="s">
        <v>228</v>
      </c>
      <c r="F75" s="2" t="s">
        <v>32</v>
      </c>
      <c r="G75" s="16" t="n">
        <v>0.0546</v>
      </c>
      <c r="H75" s="16" t="n">
        <v>0.0486</v>
      </c>
      <c r="I75" s="16" t="n">
        <v>0.0428</v>
      </c>
      <c r="J75" s="16" t="n">
        <v>0.036</v>
      </c>
      <c r="K75" s="16" t="n">
        <v>0.0292</v>
      </c>
      <c r="L75" s="16" t="n">
        <v>0.0274</v>
      </c>
      <c r="M75" s="16" t="n">
        <v>0.0263</v>
      </c>
      <c r="N75" s="16" t="n">
        <v>0.0258</v>
      </c>
      <c r="O75" s="16" t="n">
        <f aca="false">INDEX($G75:$N75,1,MATCH(Inputs!$B$16,$G$4:$N$4,0))</f>
        <v>0.0428</v>
      </c>
    </row>
    <row r="76" customFormat="false" ht="15" hidden="false" customHeight="false" outlineLevel="0" collapsed="false">
      <c r="A76" s="2" t="s">
        <v>159</v>
      </c>
      <c r="B76" s="2" t="s">
        <v>196</v>
      </c>
      <c r="C76" s="2" t="s">
        <v>71</v>
      </c>
      <c r="D76" s="2" t="s">
        <v>229</v>
      </c>
      <c r="E76" s="2" t="s">
        <v>230</v>
      </c>
      <c r="F76" s="2" t="s">
        <v>32</v>
      </c>
      <c r="G76" s="16" t="n">
        <v>0.05</v>
      </c>
      <c r="H76" s="16" t="n">
        <v>0.0475</v>
      </c>
      <c r="I76" s="16" t="n">
        <v>0.0442</v>
      </c>
      <c r="J76" s="16" t="n">
        <v>0.0398</v>
      </c>
      <c r="K76" s="16" t="n">
        <v>0.0366</v>
      </c>
      <c r="L76" s="16" t="n">
        <v>0.0351</v>
      </c>
      <c r="M76" s="16" t="n">
        <v>0.0337</v>
      </c>
      <c r="N76" s="16" t="n">
        <v>0.033</v>
      </c>
      <c r="O76" s="16" t="n">
        <f aca="false">INDEX($G76:$N76,1,MATCH(Inputs!$B$16,$G$4:$N$4,0))</f>
        <v>0.0442</v>
      </c>
    </row>
    <row r="77" customFormat="false" ht="15" hidden="false" customHeight="false" outlineLevel="0" collapsed="false">
      <c r="A77" s="2" t="s">
        <v>159</v>
      </c>
      <c r="B77" s="2" t="s">
        <v>196</v>
      </c>
      <c r="C77" s="2" t="s">
        <v>71</v>
      </c>
      <c r="D77" s="2" t="s">
        <v>231</v>
      </c>
      <c r="E77" s="2" t="s">
        <v>232</v>
      </c>
      <c r="F77" s="2" t="s">
        <v>32</v>
      </c>
      <c r="G77" s="16" t="n">
        <v>0.05</v>
      </c>
      <c r="H77" s="16" t="n">
        <v>0.0475</v>
      </c>
      <c r="I77" s="16" t="n">
        <v>0.0442</v>
      </c>
      <c r="J77" s="16" t="n">
        <v>0.0398</v>
      </c>
      <c r="K77" s="16" t="n">
        <v>0.0366</v>
      </c>
      <c r="L77" s="16" t="n">
        <v>0.0351</v>
      </c>
      <c r="M77" s="16" t="n">
        <v>0.0337</v>
      </c>
      <c r="N77" s="16" t="n">
        <v>0.033</v>
      </c>
      <c r="O77" s="16" t="n">
        <f aca="false">INDEX($G77:$N77,1,MATCH(Inputs!$B$16,$G$4:$N$4,0))</f>
        <v>0.0442</v>
      </c>
    </row>
    <row r="78" customFormat="false" ht="15" hidden="false" customHeight="false" outlineLevel="0" collapsed="false">
      <c r="A78" s="2" t="s">
        <v>159</v>
      </c>
      <c r="B78" s="2" t="s">
        <v>196</v>
      </c>
      <c r="C78" s="2" t="s">
        <v>79</v>
      </c>
      <c r="D78" s="2" t="s">
        <v>233</v>
      </c>
      <c r="E78" s="2" t="s">
        <v>234</v>
      </c>
      <c r="F78" s="2" t="s">
        <v>32</v>
      </c>
      <c r="G78" s="16" t="n">
        <v>0.13</v>
      </c>
      <c r="H78" s="16" t="n">
        <v>0.1157</v>
      </c>
      <c r="I78" s="16" t="n">
        <v>0.1018</v>
      </c>
      <c r="J78" s="16" t="n">
        <v>0.0896</v>
      </c>
      <c r="K78" s="16" t="n">
        <v>0.0833</v>
      </c>
      <c r="L78" s="16" t="n">
        <v>0.08</v>
      </c>
      <c r="M78" s="16" t="n">
        <v>0.0768</v>
      </c>
      <c r="N78" s="16" t="n">
        <v>0.0745</v>
      </c>
      <c r="O78" s="16" t="n">
        <f aca="false">INDEX($G78:$N78,1,MATCH(Inputs!$B$16,$G$4:$N$4,0))</f>
        <v>0.1018</v>
      </c>
    </row>
    <row r="79" customFormat="false" ht="15" hidden="false" customHeight="false" outlineLevel="0" collapsed="false">
      <c r="A79" s="2" t="s">
        <v>159</v>
      </c>
      <c r="B79" s="2" t="s">
        <v>196</v>
      </c>
      <c r="C79" s="2" t="s">
        <v>92</v>
      </c>
      <c r="D79" s="2" t="s">
        <v>235</v>
      </c>
      <c r="E79" s="2" t="s">
        <v>236</v>
      </c>
      <c r="F79" s="2" t="s">
        <v>32</v>
      </c>
      <c r="G79" s="16" t="n">
        <v>0.14</v>
      </c>
      <c r="H79" s="16" t="n">
        <v>0.1246</v>
      </c>
      <c r="I79" s="16" t="n">
        <v>0.1096</v>
      </c>
      <c r="J79" s="16" t="n">
        <v>0.0964</v>
      </c>
      <c r="K79" s="16" t="n">
        <v>0.0868</v>
      </c>
      <c r="L79" s="16" t="n">
        <v>0.0833</v>
      </c>
      <c r="M79" s="16" t="n">
        <v>0.08</v>
      </c>
      <c r="N79" s="16" t="n">
        <v>0.0776</v>
      </c>
      <c r="O79" s="16" t="n">
        <f aca="false">INDEX($G79:$N79,1,MATCH(Inputs!$B$16,$G$4:$N$4,0))</f>
        <v>0.1096</v>
      </c>
    </row>
    <row r="80" customFormat="false" ht="15" hidden="false" customHeight="false" outlineLevel="0" collapsed="false">
      <c r="A80" s="2" t="s">
        <v>159</v>
      </c>
      <c r="B80" s="2" t="s">
        <v>196</v>
      </c>
      <c r="C80" s="2" t="s">
        <v>71</v>
      </c>
      <c r="D80" s="2" t="s">
        <v>237</v>
      </c>
      <c r="E80" s="2" t="s">
        <v>238</v>
      </c>
      <c r="F80" s="2" t="s">
        <v>32</v>
      </c>
      <c r="G80" s="16" t="n">
        <v>0.135</v>
      </c>
      <c r="H80" s="16" t="n">
        <v>0.1283</v>
      </c>
      <c r="I80" s="16" t="n">
        <v>0.1193</v>
      </c>
      <c r="J80" s="16" t="n">
        <v>0.1074</v>
      </c>
      <c r="K80" s="16" t="n">
        <v>0.0988</v>
      </c>
      <c r="L80" s="16" t="n">
        <v>0.0948</v>
      </c>
      <c r="M80" s="16" t="n">
        <v>0.091</v>
      </c>
      <c r="N80" s="16" t="n">
        <v>0.0892</v>
      </c>
      <c r="O80" s="16" t="n">
        <f aca="false">INDEX($G80:$N80,1,MATCH(Inputs!$B$16,$G$4:$N$4,0))</f>
        <v>0.1193</v>
      </c>
    </row>
    <row r="81" customFormat="false" ht="15" hidden="false" customHeight="false" outlineLevel="0" collapsed="false">
      <c r="A81" s="2" t="s">
        <v>159</v>
      </c>
      <c r="B81" s="2" t="s">
        <v>196</v>
      </c>
      <c r="C81" s="2" t="s">
        <v>71</v>
      </c>
      <c r="D81" s="2" t="s">
        <v>239</v>
      </c>
      <c r="E81" s="2" t="s">
        <v>240</v>
      </c>
      <c r="F81" s="2" t="s">
        <v>32</v>
      </c>
      <c r="G81" s="16" t="n">
        <v>0.135</v>
      </c>
      <c r="H81" s="16" t="n">
        <v>0.1283</v>
      </c>
      <c r="I81" s="16" t="n">
        <v>0.1193</v>
      </c>
      <c r="J81" s="16" t="n">
        <v>0.1074</v>
      </c>
      <c r="K81" s="16" t="n">
        <v>0.0988</v>
      </c>
      <c r="L81" s="16" t="n">
        <v>0.0948</v>
      </c>
      <c r="M81" s="16" t="n">
        <v>0.091</v>
      </c>
      <c r="N81" s="16" t="n">
        <v>0.0892</v>
      </c>
      <c r="O81" s="16" t="n">
        <f aca="false">INDEX($G81:$N81,1,MATCH(Inputs!$B$16,$G$4:$N$4,0))</f>
        <v>0.1193</v>
      </c>
    </row>
    <row r="82" customFormat="false" ht="15" hidden="false" customHeight="false" outlineLevel="0" collapsed="false">
      <c r="A82" s="2" t="s">
        <v>159</v>
      </c>
      <c r="B82" s="2" t="s">
        <v>196</v>
      </c>
      <c r="C82" s="2" t="s">
        <v>71</v>
      </c>
      <c r="D82" s="2" t="s">
        <v>241</v>
      </c>
      <c r="E82" s="2" t="s">
        <v>242</v>
      </c>
      <c r="F82" s="2" t="s">
        <v>32</v>
      </c>
      <c r="G82" s="16" t="n">
        <v>0.077</v>
      </c>
      <c r="H82" s="16" t="n">
        <v>0.0685</v>
      </c>
      <c r="I82" s="16" t="n">
        <v>0.0603</v>
      </c>
      <c r="J82" s="16" t="n">
        <v>0.0531</v>
      </c>
      <c r="K82" s="16" t="n">
        <v>0.0478</v>
      </c>
      <c r="L82" s="16" t="n">
        <v>0.0459</v>
      </c>
      <c r="M82" s="16" t="n">
        <v>0.0441</v>
      </c>
      <c r="N82" s="16" t="n">
        <v>0.0428</v>
      </c>
      <c r="O82" s="16" t="n">
        <f aca="false">INDEX($G82:$N82,1,MATCH(Inputs!$B$16,$G$4:$N$4,0))</f>
        <v>0.0603</v>
      </c>
    </row>
    <row r="83" customFormat="false" ht="15" hidden="false" customHeight="false" outlineLevel="0" collapsed="false">
      <c r="A83" s="2" t="s">
        <v>159</v>
      </c>
      <c r="B83" s="2" t="s">
        <v>196</v>
      </c>
      <c r="C83" s="2" t="s">
        <v>71</v>
      </c>
      <c r="D83" s="2" t="s">
        <v>243</v>
      </c>
      <c r="E83" s="2" t="s">
        <v>244</v>
      </c>
      <c r="F83" s="2" t="s">
        <v>32</v>
      </c>
      <c r="G83" s="16" t="n">
        <v>0.065</v>
      </c>
      <c r="H83" s="16" t="n">
        <v>0.0579</v>
      </c>
      <c r="I83" s="16" t="n">
        <v>0.051</v>
      </c>
      <c r="J83" s="16" t="n">
        <v>0.0449</v>
      </c>
      <c r="K83" s="16" t="n">
        <v>0.0404</v>
      </c>
      <c r="L83" s="16" t="n">
        <v>0.0388</v>
      </c>
      <c r="M83" s="16" t="n">
        <v>0.0372</v>
      </c>
      <c r="N83" s="16" t="n">
        <v>0.0361</v>
      </c>
      <c r="O83" s="16" t="n">
        <f aca="false">INDEX($G83:$N83,1,MATCH(Inputs!$B$16,$G$4:$N$4,0))</f>
        <v>0.051</v>
      </c>
    </row>
    <row r="84" customFormat="false" ht="15" hidden="false" customHeight="false" outlineLevel="0" collapsed="false">
      <c r="A84" s="2" t="s">
        <v>159</v>
      </c>
      <c r="B84" s="2" t="s">
        <v>196</v>
      </c>
      <c r="C84" s="2" t="s">
        <v>71</v>
      </c>
      <c r="D84" s="2" t="s">
        <v>245</v>
      </c>
      <c r="E84" s="2" t="s">
        <v>246</v>
      </c>
      <c r="F84" s="2" t="s">
        <v>32</v>
      </c>
      <c r="G84" s="16" t="n">
        <v>0.124</v>
      </c>
      <c r="H84" s="16" t="n">
        <v>0.1178</v>
      </c>
      <c r="I84" s="16" t="n">
        <v>0.1096</v>
      </c>
      <c r="J84" s="16" t="n">
        <v>0.0986</v>
      </c>
      <c r="K84" s="16" t="n">
        <v>0.0907</v>
      </c>
      <c r="L84" s="16" t="n">
        <v>0.0871</v>
      </c>
      <c r="M84" s="16" t="n">
        <v>0.0836</v>
      </c>
      <c r="N84" s="16" t="n">
        <v>0.0819</v>
      </c>
      <c r="O84" s="16" t="n">
        <f aca="false">INDEX($G84:$N84,1,MATCH(Inputs!$B$16,$G$4:$N$4,0))</f>
        <v>0.1096</v>
      </c>
    </row>
    <row r="85" customFormat="false" ht="15" hidden="false" customHeight="false" outlineLevel="0" collapsed="false">
      <c r="A85" s="2" t="s">
        <v>159</v>
      </c>
      <c r="B85" s="2" t="s">
        <v>196</v>
      </c>
      <c r="C85" s="2" t="s">
        <v>79</v>
      </c>
      <c r="D85" s="2" t="s">
        <v>247</v>
      </c>
      <c r="E85" s="2" t="s">
        <v>248</v>
      </c>
      <c r="F85" s="2" t="s">
        <v>32</v>
      </c>
      <c r="G85" s="16" t="n">
        <v>0.0325</v>
      </c>
      <c r="H85" s="16" t="n">
        <v>0.0289</v>
      </c>
      <c r="I85" s="16" t="n">
        <v>0.0254</v>
      </c>
      <c r="J85" s="16" t="n">
        <v>0.0216</v>
      </c>
      <c r="K85" s="16" t="n">
        <v>0.0177</v>
      </c>
      <c r="L85" s="16" t="n">
        <v>0.0166</v>
      </c>
      <c r="M85" s="16" t="n">
        <v>0.0159</v>
      </c>
      <c r="N85" s="16" t="n">
        <v>0.0154</v>
      </c>
      <c r="O85" s="16" t="n">
        <f aca="false">INDEX($G85:$N85,1,MATCH(Inputs!$B$16,$G$4:$N$4,0))</f>
        <v>0.0254</v>
      </c>
    </row>
    <row r="86" customFormat="false" ht="15" hidden="false" customHeight="false" outlineLevel="0" collapsed="false">
      <c r="A86" s="2" t="s">
        <v>159</v>
      </c>
      <c r="B86" s="2" t="s">
        <v>196</v>
      </c>
      <c r="C86" s="2" t="s">
        <v>79</v>
      </c>
      <c r="D86" s="2" t="s">
        <v>249</v>
      </c>
      <c r="E86" s="2" t="s">
        <v>250</v>
      </c>
      <c r="F86" s="2" t="s">
        <v>32</v>
      </c>
      <c r="G86" s="16" t="n">
        <v>1.73</v>
      </c>
      <c r="H86" s="16" t="n">
        <v>1.64</v>
      </c>
      <c r="I86" s="16" t="n">
        <v>1.53</v>
      </c>
      <c r="J86" s="16" t="n">
        <v>1.38</v>
      </c>
      <c r="K86" s="16" t="n">
        <v>1.27</v>
      </c>
      <c r="L86" s="16" t="n">
        <v>1.22</v>
      </c>
      <c r="M86" s="16" t="n">
        <v>1.17</v>
      </c>
      <c r="N86" s="16" t="n">
        <v>1.15</v>
      </c>
      <c r="O86" s="16" t="n">
        <f aca="false">INDEX($G86:$N86,1,MATCH(Inputs!$B$16,$G$4:$N$4,0))</f>
        <v>1.53</v>
      </c>
    </row>
    <row r="87" customFormat="false" ht="15" hidden="false" customHeight="false" outlineLevel="0" collapsed="false">
      <c r="A87" s="2" t="s">
        <v>159</v>
      </c>
      <c r="B87" s="2" t="s">
        <v>196</v>
      </c>
      <c r="C87" s="2" t="s">
        <v>79</v>
      </c>
      <c r="D87" s="2" t="s">
        <v>251</v>
      </c>
      <c r="E87" s="2" t="s">
        <v>252</v>
      </c>
      <c r="F87" s="2" t="s">
        <v>32</v>
      </c>
      <c r="G87" s="16" t="n">
        <v>1.73</v>
      </c>
      <c r="H87" s="16" t="n">
        <v>1.64</v>
      </c>
      <c r="I87" s="16" t="n">
        <v>1.53</v>
      </c>
      <c r="J87" s="16" t="n">
        <v>1.38</v>
      </c>
      <c r="K87" s="16" t="n">
        <v>1.27</v>
      </c>
      <c r="L87" s="16" t="n">
        <v>1.22</v>
      </c>
      <c r="M87" s="16" t="n">
        <v>1.17</v>
      </c>
      <c r="N87" s="16" t="n">
        <v>1.15</v>
      </c>
      <c r="O87" s="16" t="n">
        <f aca="false">INDEX($G87:$N87,1,MATCH(Inputs!$B$16,$G$4:$N$4,0))</f>
        <v>1.53</v>
      </c>
    </row>
    <row r="88" customFormat="false" ht="15" hidden="false" customHeight="false" outlineLevel="0" collapsed="false">
      <c r="A88" s="2" t="s">
        <v>159</v>
      </c>
      <c r="B88" s="2" t="s">
        <v>196</v>
      </c>
      <c r="C88" s="2" t="s">
        <v>71</v>
      </c>
      <c r="D88" s="2" t="s">
        <v>253</v>
      </c>
      <c r="E88" s="2" t="s">
        <v>254</v>
      </c>
      <c r="F88" s="2" t="s">
        <v>30</v>
      </c>
      <c r="G88" s="16" t="n">
        <v>12</v>
      </c>
      <c r="H88" s="16" t="n">
        <v>10.68</v>
      </c>
      <c r="I88" s="16" t="n">
        <v>9.18</v>
      </c>
      <c r="J88" s="16" t="n">
        <v>7.89</v>
      </c>
      <c r="K88" s="16" t="n">
        <v>7.1</v>
      </c>
      <c r="L88" s="16" t="n">
        <v>6.82</v>
      </c>
      <c r="M88" s="16" t="n">
        <v>6.55</v>
      </c>
      <c r="N88" s="16" t="n">
        <v>6.35</v>
      </c>
      <c r="O88" s="16" t="n">
        <f aca="false">INDEX($G88:$N88,1,MATCH(Inputs!$B$16,$G$4:$N$4,0))</f>
        <v>9.18</v>
      </c>
    </row>
    <row r="89" customFormat="false" ht="15" hidden="false" customHeight="false" outlineLevel="0" collapsed="false">
      <c r="A89" s="2" t="s">
        <v>159</v>
      </c>
      <c r="B89" s="2" t="s">
        <v>196</v>
      </c>
      <c r="C89" s="2" t="s">
        <v>71</v>
      </c>
      <c r="D89" s="2" t="s">
        <v>255</v>
      </c>
      <c r="E89" s="2" t="s">
        <v>256</v>
      </c>
      <c r="F89" s="2" t="s">
        <v>30</v>
      </c>
      <c r="G89" s="16" t="n">
        <v>4.8</v>
      </c>
      <c r="H89" s="16" t="n">
        <v>4.27</v>
      </c>
      <c r="I89" s="16" t="n">
        <v>3.67</v>
      </c>
      <c r="J89" s="16" t="n">
        <v>3.16</v>
      </c>
      <c r="K89" s="16" t="n">
        <v>2.84</v>
      </c>
      <c r="L89" s="16" t="n">
        <v>2.73</v>
      </c>
      <c r="M89" s="16" t="n">
        <v>2.62</v>
      </c>
      <c r="N89" s="16" t="n">
        <v>2.54</v>
      </c>
      <c r="O89" s="16" t="n">
        <f aca="false">INDEX($G89:$N89,1,MATCH(Inputs!$B$16,$G$4:$N$4,0))</f>
        <v>3.67</v>
      </c>
    </row>
    <row r="90" customFormat="false" ht="15" hidden="false" customHeight="false" outlineLevel="0" collapsed="false">
      <c r="A90" s="2" t="s">
        <v>159</v>
      </c>
      <c r="B90" s="2" t="s">
        <v>196</v>
      </c>
      <c r="C90" s="2" t="s">
        <v>71</v>
      </c>
      <c r="D90" s="2" t="s">
        <v>257</v>
      </c>
      <c r="E90" s="2" t="s">
        <v>258</v>
      </c>
      <c r="F90" s="2" t="s">
        <v>30</v>
      </c>
      <c r="G90" s="16" t="n">
        <v>1.2</v>
      </c>
      <c r="H90" s="16" t="n">
        <v>1.07</v>
      </c>
      <c r="I90" s="16" t="n">
        <v>0.92</v>
      </c>
      <c r="J90" s="16" t="n">
        <v>0.75</v>
      </c>
      <c r="K90" s="16" t="n">
        <v>0.62</v>
      </c>
      <c r="L90" s="16" t="n">
        <v>0.56</v>
      </c>
      <c r="M90" s="16" t="n">
        <v>0.54</v>
      </c>
      <c r="N90" s="16" t="n">
        <v>0.52</v>
      </c>
      <c r="O90" s="16" t="n">
        <f aca="false">INDEX($G90:$N90,1,MATCH(Inputs!$B$16,$G$4:$N$4,0))</f>
        <v>0.92</v>
      </c>
    </row>
    <row r="91" customFormat="false" ht="15" hidden="false" customHeight="false" outlineLevel="0" collapsed="false">
      <c r="A91" s="2" t="s">
        <v>159</v>
      </c>
      <c r="B91" s="2" t="s">
        <v>196</v>
      </c>
      <c r="C91" s="2" t="s">
        <v>71</v>
      </c>
      <c r="D91" s="2" t="s">
        <v>259</v>
      </c>
      <c r="E91" s="2" t="s">
        <v>260</v>
      </c>
      <c r="F91" s="2" t="s">
        <v>30</v>
      </c>
      <c r="G91" s="16" t="n">
        <v>1.2</v>
      </c>
      <c r="H91" s="16" t="n">
        <v>1.07</v>
      </c>
      <c r="I91" s="16" t="n">
        <v>0.92</v>
      </c>
      <c r="J91" s="16" t="n">
        <v>0.75</v>
      </c>
      <c r="K91" s="16" t="n">
        <v>0.62</v>
      </c>
      <c r="L91" s="16" t="n">
        <v>0.56</v>
      </c>
      <c r="M91" s="16" t="n">
        <v>0.54</v>
      </c>
      <c r="N91" s="16" t="n">
        <v>0.52</v>
      </c>
      <c r="O91" s="16" t="n">
        <f aca="false">INDEX($G91:$N91,1,MATCH(Inputs!$B$16,$G$4:$N$4,0))</f>
        <v>0.92</v>
      </c>
    </row>
    <row r="92" customFormat="false" ht="15" hidden="false" customHeight="false" outlineLevel="0" collapsed="false">
      <c r="A92" s="2" t="s">
        <v>159</v>
      </c>
      <c r="B92" s="2" t="s">
        <v>261</v>
      </c>
      <c r="C92" s="2" t="s">
        <v>79</v>
      </c>
      <c r="D92" s="2" t="s">
        <v>262</v>
      </c>
      <c r="E92" s="2" t="s">
        <v>263</v>
      </c>
      <c r="F92" s="2" t="s">
        <v>32</v>
      </c>
      <c r="G92" s="16" t="n">
        <v>0.07</v>
      </c>
      <c r="H92" s="16" t="n">
        <v>0.0623</v>
      </c>
      <c r="I92" s="16" t="n">
        <v>0.0548</v>
      </c>
      <c r="J92" s="16" t="n">
        <v>0.0482</v>
      </c>
      <c r="K92" s="16" t="n">
        <v>0.0424</v>
      </c>
      <c r="L92" s="16" t="n">
        <v>0.0399</v>
      </c>
      <c r="M92" s="16" t="n">
        <v>0.0383</v>
      </c>
      <c r="N92" s="16" t="n">
        <v>0.0372</v>
      </c>
      <c r="O92" s="16" t="n">
        <f aca="false">INDEX($G92:$N92,1,MATCH(Inputs!$B$16,$G$4:$N$4,0))</f>
        <v>0.0548</v>
      </c>
    </row>
    <row r="93" customFormat="false" ht="15" hidden="false" customHeight="false" outlineLevel="0" collapsed="false">
      <c r="A93" s="2" t="s">
        <v>159</v>
      </c>
      <c r="B93" s="2" t="s">
        <v>261</v>
      </c>
      <c r="C93" s="2" t="s">
        <v>92</v>
      </c>
      <c r="D93" s="2" t="s">
        <v>264</v>
      </c>
      <c r="E93" s="2" t="s">
        <v>265</v>
      </c>
      <c r="F93" s="2" t="s">
        <v>32</v>
      </c>
      <c r="G93" s="16" t="n">
        <v>0.087</v>
      </c>
      <c r="H93" s="16" t="n">
        <v>0.0774</v>
      </c>
      <c r="I93" s="16" t="n">
        <v>0.0681</v>
      </c>
      <c r="J93" s="16" t="n">
        <v>0.0599</v>
      </c>
      <c r="K93" s="16" t="n">
        <v>0.0527</v>
      </c>
      <c r="L93" s="16" t="n">
        <v>0.0495</v>
      </c>
      <c r="M93" s="16" t="n">
        <v>0.0475</v>
      </c>
      <c r="N93" s="16" t="n">
        <v>0.0461</v>
      </c>
      <c r="O93" s="16" t="n">
        <f aca="false">INDEX($G93:$N93,1,MATCH(Inputs!$B$16,$G$4:$N$4,0))</f>
        <v>0.0681</v>
      </c>
    </row>
    <row r="94" customFormat="false" ht="15" hidden="false" customHeight="false" outlineLevel="0" collapsed="false">
      <c r="A94" s="2" t="s">
        <v>159</v>
      </c>
      <c r="B94" s="2" t="s">
        <v>261</v>
      </c>
      <c r="C94" s="2" t="s">
        <v>71</v>
      </c>
      <c r="D94" s="2" t="s">
        <v>266</v>
      </c>
      <c r="E94" s="2" t="s">
        <v>267</v>
      </c>
      <c r="F94" s="2" t="s">
        <v>32</v>
      </c>
      <c r="G94" s="16" t="n">
        <v>0.04</v>
      </c>
      <c r="H94" s="16" t="n">
        <v>0.0356</v>
      </c>
      <c r="I94" s="16" t="n">
        <v>0.0313</v>
      </c>
      <c r="J94" s="16" t="n">
        <v>0.0275</v>
      </c>
      <c r="K94" s="16" t="n">
        <v>0.0242</v>
      </c>
      <c r="L94" s="16" t="n">
        <v>0.0227</v>
      </c>
      <c r="M94" s="16" t="n">
        <v>0.0218</v>
      </c>
      <c r="N94" s="16" t="n">
        <v>0.0211</v>
      </c>
      <c r="O94" s="16" t="n">
        <f aca="false">INDEX($G94:$N94,1,MATCH(Inputs!$B$16,$G$4:$N$4,0))</f>
        <v>0.0313</v>
      </c>
    </row>
    <row r="95" customFormat="false" ht="15" hidden="false" customHeight="false" outlineLevel="0" collapsed="false">
      <c r="A95" s="2" t="s">
        <v>159</v>
      </c>
      <c r="B95" s="2" t="s">
        <v>261</v>
      </c>
      <c r="C95" s="2" t="s">
        <v>71</v>
      </c>
      <c r="D95" s="2" t="s">
        <v>268</v>
      </c>
      <c r="E95" s="2" t="s">
        <v>269</v>
      </c>
      <c r="F95" s="2" t="s">
        <v>32</v>
      </c>
      <c r="G95" s="16" t="n">
        <v>0.06</v>
      </c>
      <c r="H95" s="16" t="n">
        <v>0.0558</v>
      </c>
      <c r="I95" s="16" t="n">
        <v>0.0513</v>
      </c>
      <c r="J95" s="16" t="n">
        <v>0.0462</v>
      </c>
      <c r="K95" s="16" t="n">
        <v>0.0425</v>
      </c>
      <c r="L95" s="16" t="n">
        <v>0.0408</v>
      </c>
      <c r="M95" s="16" t="n">
        <v>0.0388</v>
      </c>
      <c r="N95" s="16" t="n">
        <v>0.038</v>
      </c>
      <c r="O95" s="16" t="n">
        <f aca="false">INDEX($G95:$N95,1,MATCH(Inputs!$B$16,$G$4:$N$4,0))</f>
        <v>0.0513</v>
      </c>
    </row>
    <row r="96" customFormat="false" ht="15" hidden="false" customHeight="false" outlineLevel="0" collapsed="false">
      <c r="A96" s="2" t="s">
        <v>159</v>
      </c>
      <c r="B96" s="2" t="s">
        <v>261</v>
      </c>
      <c r="C96" s="2" t="s">
        <v>71</v>
      </c>
      <c r="D96" s="2" t="s">
        <v>270</v>
      </c>
      <c r="E96" s="2" t="s">
        <v>271</v>
      </c>
      <c r="F96" s="2" t="s">
        <v>32</v>
      </c>
      <c r="G96" s="16" t="n">
        <v>3</v>
      </c>
      <c r="H96" s="16" t="n">
        <v>2.79</v>
      </c>
      <c r="I96" s="16" t="n">
        <v>2.57</v>
      </c>
      <c r="J96" s="16" t="n">
        <v>2.31</v>
      </c>
      <c r="K96" s="16" t="n">
        <v>2.13</v>
      </c>
      <c r="L96" s="16" t="n">
        <v>2.04</v>
      </c>
      <c r="M96" s="16" t="n">
        <v>1.94</v>
      </c>
      <c r="N96" s="16" t="n">
        <v>1.9</v>
      </c>
      <c r="O96" s="16" t="n">
        <f aca="false">INDEX($G96:$N96,1,MATCH(Inputs!$B$16,$G$4:$N$4,0))</f>
        <v>2.57</v>
      </c>
    </row>
    <row r="97" customFormat="false" ht="15" hidden="false" customHeight="false" outlineLevel="0" collapsed="false">
      <c r="A97" s="2" t="s">
        <v>159</v>
      </c>
      <c r="B97" s="2" t="s">
        <v>261</v>
      </c>
      <c r="C97" s="2" t="s">
        <v>71</v>
      </c>
      <c r="D97" s="2" t="s">
        <v>272</v>
      </c>
      <c r="E97" s="2" t="s">
        <v>273</v>
      </c>
      <c r="F97" s="2" t="s">
        <v>30</v>
      </c>
      <c r="G97" s="16" t="n">
        <v>14</v>
      </c>
      <c r="H97" s="16" t="n">
        <v>13.02</v>
      </c>
      <c r="I97" s="16" t="n">
        <v>11.98</v>
      </c>
      <c r="J97" s="16" t="n">
        <v>10.9</v>
      </c>
      <c r="K97" s="16" t="n">
        <v>10.14</v>
      </c>
      <c r="L97" s="16" t="n">
        <v>9.73</v>
      </c>
      <c r="M97" s="16" t="n">
        <v>9.24</v>
      </c>
      <c r="N97" s="16" t="n">
        <v>9.06</v>
      </c>
      <c r="O97" s="16" t="n">
        <f aca="false">INDEX($G97:$N97,1,MATCH(Inputs!$B$16,$G$4:$N$4,0))</f>
        <v>11.98</v>
      </c>
    </row>
    <row r="98" customFormat="false" ht="15" hidden="false" customHeight="false" outlineLevel="0" collapsed="false">
      <c r="A98" s="2" t="s">
        <v>159</v>
      </c>
      <c r="B98" s="2" t="s">
        <v>274</v>
      </c>
      <c r="C98" s="2" t="s">
        <v>79</v>
      </c>
      <c r="D98" s="2" t="s">
        <v>275</v>
      </c>
      <c r="E98" s="2" t="s">
        <v>276</v>
      </c>
      <c r="F98" s="2" t="s">
        <v>32</v>
      </c>
      <c r="G98" s="16" t="n">
        <v>1.25</v>
      </c>
      <c r="H98" s="16" t="n">
        <v>1.19</v>
      </c>
      <c r="I98" s="16" t="n">
        <v>1.12</v>
      </c>
      <c r="J98" s="16" t="n">
        <v>1.03</v>
      </c>
      <c r="K98" s="16" t="n">
        <v>0.96</v>
      </c>
      <c r="L98" s="16" t="n">
        <v>0.92</v>
      </c>
      <c r="M98" s="16" t="n">
        <v>0.88</v>
      </c>
      <c r="N98" s="16" t="n">
        <v>0.862</v>
      </c>
      <c r="O98" s="16" t="n">
        <f aca="false">INDEX($G98:$N98,1,MATCH(Inputs!$B$16,$G$4:$N$4,0))</f>
        <v>1.12</v>
      </c>
    </row>
    <row r="99" customFormat="false" ht="15" hidden="false" customHeight="false" outlineLevel="0" collapsed="false">
      <c r="A99" s="2" t="s">
        <v>159</v>
      </c>
      <c r="B99" s="2" t="s">
        <v>274</v>
      </c>
      <c r="C99" s="2" t="s">
        <v>92</v>
      </c>
      <c r="D99" s="2" t="s">
        <v>277</v>
      </c>
      <c r="E99" s="2" t="s">
        <v>278</v>
      </c>
      <c r="F99" s="2" t="s">
        <v>32</v>
      </c>
      <c r="G99" s="16" t="n">
        <v>1.7</v>
      </c>
      <c r="H99" s="16" t="n">
        <v>1.62</v>
      </c>
      <c r="I99" s="16" t="n">
        <v>1.52</v>
      </c>
      <c r="J99" s="16" t="n">
        <v>1.4</v>
      </c>
      <c r="K99" s="16" t="n">
        <v>1.3</v>
      </c>
      <c r="L99" s="16" t="n">
        <v>1.248</v>
      </c>
      <c r="M99" s="16" t="n">
        <v>1.2</v>
      </c>
      <c r="N99" s="16" t="n">
        <v>1.176</v>
      </c>
      <c r="O99" s="16" t="n">
        <f aca="false">INDEX($G99:$N99,1,MATCH(Inputs!$B$16,$G$4:$N$4,0))</f>
        <v>1.52</v>
      </c>
    </row>
    <row r="100" customFormat="false" ht="15" hidden="false" customHeight="false" outlineLevel="0" collapsed="false">
      <c r="A100" s="2" t="s">
        <v>159</v>
      </c>
      <c r="B100" s="2" t="s">
        <v>274</v>
      </c>
      <c r="C100" s="2" t="s">
        <v>71</v>
      </c>
      <c r="D100" s="2" t="s">
        <v>279</v>
      </c>
      <c r="E100" s="2" t="s">
        <v>280</v>
      </c>
      <c r="F100" s="2" t="s">
        <v>32</v>
      </c>
      <c r="G100" s="16" t="n">
        <v>0.83</v>
      </c>
      <c r="H100" s="16" t="n">
        <v>0.79</v>
      </c>
      <c r="I100" s="16" t="n">
        <v>0.74</v>
      </c>
      <c r="J100" s="16" t="n">
        <v>0.68</v>
      </c>
      <c r="K100" s="16" t="n">
        <v>0.63</v>
      </c>
      <c r="L100" s="16" t="n">
        <v>0.605</v>
      </c>
      <c r="M100" s="16" t="n">
        <v>0.58</v>
      </c>
      <c r="N100" s="16" t="n">
        <v>0.568</v>
      </c>
      <c r="O100" s="16" t="n">
        <f aca="false">INDEX($G100:$N100,1,MATCH(Inputs!$B$16,$G$4:$N$4,0))</f>
        <v>0.74</v>
      </c>
    </row>
    <row r="101" customFormat="false" ht="15" hidden="false" customHeight="false" outlineLevel="0" collapsed="false">
      <c r="A101" s="2" t="s">
        <v>159</v>
      </c>
      <c r="B101" s="2" t="s">
        <v>274</v>
      </c>
      <c r="C101" s="2" t="s">
        <v>71</v>
      </c>
      <c r="D101" s="2" t="s">
        <v>281</v>
      </c>
      <c r="E101" s="2" t="s">
        <v>282</v>
      </c>
      <c r="F101" s="2" t="s">
        <v>32</v>
      </c>
      <c r="G101" s="16" t="n">
        <v>0.05</v>
      </c>
      <c r="H101" s="16" t="n">
        <v>0.0475</v>
      </c>
      <c r="I101" s="16" t="n">
        <v>0.0442</v>
      </c>
      <c r="J101" s="16" t="n">
        <v>0.0398</v>
      </c>
      <c r="K101" s="16" t="n">
        <v>0.0366</v>
      </c>
      <c r="L101" s="16" t="n">
        <v>0.0351</v>
      </c>
      <c r="M101" s="16" t="n">
        <v>0.0337</v>
      </c>
      <c r="N101" s="16" t="n">
        <v>0.033</v>
      </c>
      <c r="O101" s="16" t="n">
        <f aca="false">INDEX($G101:$N101,1,MATCH(Inputs!$B$16,$G$4:$N$4,0))</f>
        <v>0.0442</v>
      </c>
    </row>
    <row r="102" customFormat="false" ht="15" hidden="false" customHeight="false" outlineLevel="0" collapsed="false">
      <c r="A102" s="2" t="s">
        <v>159</v>
      </c>
      <c r="B102" s="2" t="s">
        <v>274</v>
      </c>
      <c r="C102" s="2" t="s">
        <v>71</v>
      </c>
      <c r="D102" s="2" t="s">
        <v>283</v>
      </c>
      <c r="E102" s="2" t="s">
        <v>284</v>
      </c>
      <c r="F102" s="2" t="s">
        <v>32</v>
      </c>
      <c r="G102" s="16" t="n">
        <v>0.05</v>
      </c>
      <c r="H102" s="16" t="n">
        <v>0.0475</v>
      </c>
      <c r="I102" s="16" t="n">
        <v>0.0442</v>
      </c>
      <c r="J102" s="16" t="n">
        <v>0.0398</v>
      </c>
      <c r="K102" s="16" t="n">
        <v>0.0366</v>
      </c>
      <c r="L102" s="16" t="n">
        <v>0.0351</v>
      </c>
      <c r="M102" s="16" t="n">
        <v>0.0337</v>
      </c>
      <c r="N102" s="16" t="n">
        <v>0.033</v>
      </c>
      <c r="O102" s="16" t="n">
        <f aca="false">INDEX($G102:$N102,1,MATCH(Inputs!$B$16,$G$4:$N$4,0))</f>
        <v>0.0442</v>
      </c>
    </row>
    <row r="103" customFormat="false" ht="15" hidden="false" customHeight="false" outlineLevel="0" collapsed="false">
      <c r="A103" s="2" t="s">
        <v>159</v>
      </c>
      <c r="B103" s="2" t="s">
        <v>274</v>
      </c>
      <c r="C103" s="2" t="s">
        <v>79</v>
      </c>
      <c r="D103" s="2" t="s">
        <v>285</v>
      </c>
      <c r="E103" s="2" t="s">
        <v>286</v>
      </c>
      <c r="F103" s="2" t="s">
        <v>32</v>
      </c>
      <c r="G103" s="16" t="n">
        <v>0.12</v>
      </c>
      <c r="H103" s="16" t="n">
        <v>0.1068</v>
      </c>
      <c r="I103" s="16" t="n">
        <v>0.094</v>
      </c>
      <c r="J103" s="16" t="n">
        <v>0.0855</v>
      </c>
      <c r="K103" s="16" t="n">
        <v>0.0795</v>
      </c>
      <c r="L103" s="16" t="n">
        <v>0.0771</v>
      </c>
      <c r="M103" s="16" t="n">
        <v>0.074</v>
      </c>
      <c r="N103" s="16" t="n">
        <v>0.0718</v>
      </c>
      <c r="O103" s="16" t="n">
        <f aca="false">INDEX($G103:$N103,1,MATCH(Inputs!$B$16,$G$4:$N$4,0))</f>
        <v>0.094</v>
      </c>
    </row>
    <row r="104" customFormat="false" ht="15" hidden="false" customHeight="false" outlineLevel="0" collapsed="false">
      <c r="A104" s="2" t="s">
        <v>159</v>
      </c>
      <c r="B104" s="2" t="s">
        <v>274</v>
      </c>
      <c r="C104" s="2" t="s">
        <v>92</v>
      </c>
      <c r="D104" s="2" t="s">
        <v>287</v>
      </c>
      <c r="E104" s="2" t="s">
        <v>288</v>
      </c>
      <c r="F104" s="2" t="s">
        <v>32</v>
      </c>
      <c r="G104" s="16" t="n">
        <v>0.13</v>
      </c>
      <c r="H104" s="16" t="n">
        <v>0.1157</v>
      </c>
      <c r="I104" s="16" t="n">
        <v>0.1018</v>
      </c>
      <c r="J104" s="16" t="n">
        <v>0.0926</v>
      </c>
      <c r="K104" s="16" t="n">
        <v>0.0861</v>
      </c>
      <c r="L104" s="16" t="n">
        <v>0.0835</v>
      </c>
      <c r="M104" s="16" t="n">
        <v>0.0802</v>
      </c>
      <c r="N104" s="16" t="n">
        <v>0.0778</v>
      </c>
      <c r="O104" s="16" t="n">
        <f aca="false">INDEX($G104:$N104,1,MATCH(Inputs!$B$16,$G$4:$N$4,0))</f>
        <v>0.1018</v>
      </c>
    </row>
    <row r="105" customFormat="false" ht="15" hidden="false" customHeight="false" outlineLevel="0" collapsed="false">
      <c r="A105" s="2" t="s">
        <v>159</v>
      </c>
      <c r="B105" s="2" t="s">
        <v>274</v>
      </c>
      <c r="C105" s="2" t="s">
        <v>71</v>
      </c>
      <c r="D105" s="2" t="s">
        <v>289</v>
      </c>
      <c r="E105" s="2" t="s">
        <v>290</v>
      </c>
      <c r="F105" s="2" t="s">
        <v>32</v>
      </c>
      <c r="G105" s="16" t="n">
        <v>0.072</v>
      </c>
      <c r="H105" s="16" t="n">
        <v>0.0641</v>
      </c>
      <c r="I105" s="16" t="n">
        <v>0.0564</v>
      </c>
      <c r="J105" s="16" t="n">
        <v>0.0513</v>
      </c>
      <c r="K105" s="16" t="n">
        <v>0.0477</v>
      </c>
      <c r="L105" s="16" t="n">
        <v>0.0463</v>
      </c>
      <c r="M105" s="16" t="n">
        <v>0.0444</v>
      </c>
      <c r="N105" s="16" t="n">
        <v>0.0431</v>
      </c>
      <c r="O105" s="16" t="n">
        <f aca="false">INDEX($G105:$N105,1,MATCH(Inputs!$B$16,$G$4:$N$4,0))</f>
        <v>0.0564</v>
      </c>
    </row>
    <row r="106" customFormat="false" ht="15" hidden="false" customHeight="false" outlineLevel="0" collapsed="false">
      <c r="A106" s="2" t="s">
        <v>159</v>
      </c>
      <c r="B106" s="2" t="s">
        <v>274</v>
      </c>
      <c r="C106" s="2" t="s">
        <v>71</v>
      </c>
      <c r="D106" s="2" t="s">
        <v>291</v>
      </c>
      <c r="E106" s="2" t="s">
        <v>292</v>
      </c>
      <c r="F106" s="2" t="s">
        <v>32</v>
      </c>
      <c r="G106" s="16" t="n">
        <v>0.121</v>
      </c>
      <c r="H106" s="16" t="n">
        <v>0.115</v>
      </c>
      <c r="I106" s="16" t="n">
        <v>0.107</v>
      </c>
      <c r="J106" s="16" t="n">
        <v>0.0963</v>
      </c>
      <c r="K106" s="16" t="n">
        <v>0.0886</v>
      </c>
      <c r="L106" s="16" t="n">
        <v>0.0851</v>
      </c>
      <c r="M106" s="16" t="n">
        <v>0.0817</v>
      </c>
      <c r="N106" s="16" t="n">
        <v>0.0801</v>
      </c>
      <c r="O106" s="16" t="n">
        <f aca="false">INDEX($G106:$N106,1,MATCH(Inputs!$B$16,$G$4:$N$4,0))</f>
        <v>0.107</v>
      </c>
    </row>
    <row r="107" customFormat="false" ht="15" hidden="false" customHeight="false" outlineLevel="0" collapsed="false">
      <c r="A107" s="2" t="s">
        <v>159</v>
      </c>
      <c r="B107" s="2" t="s">
        <v>274</v>
      </c>
      <c r="C107" s="2" t="s">
        <v>71</v>
      </c>
      <c r="D107" s="2" t="s">
        <v>293</v>
      </c>
      <c r="E107" s="2" t="s">
        <v>294</v>
      </c>
      <c r="F107" s="2" t="s">
        <v>32</v>
      </c>
      <c r="G107" s="16" t="n">
        <v>0.121</v>
      </c>
      <c r="H107" s="16" t="n">
        <v>0.115</v>
      </c>
      <c r="I107" s="16" t="n">
        <v>0.107</v>
      </c>
      <c r="J107" s="16" t="n">
        <v>0.0963</v>
      </c>
      <c r="K107" s="16" t="n">
        <v>0.0886</v>
      </c>
      <c r="L107" s="16" t="n">
        <v>0.0851</v>
      </c>
      <c r="M107" s="16" t="n">
        <v>0.0817</v>
      </c>
      <c r="N107" s="16" t="n">
        <v>0.0801</v>
      </c>
      <c r="O107" s="16" t="n">
        <f aca="false">INDEX($G107:$N107,1,MATCH(Inputs!$B$16,$G$4:$N$4,0))</f>
        <v>0.107</v>
      </c>
    </row>
    <row r="108" customFormat="false" ht="15" hidden="false" customHeight="false" outlineLevel="0" collapsed="false">
      <c r="A108" s="2" t="s">
        <v>295</v>
      </c>
      <c r="B108" s="2"/>
      <c r="C108" s="2" t="s">
        <v>71</v>
      </c>
      <c r="D108" s="2" t="s">
        <v>296</v>
      </c>
      <c r="E108" s="2" t="s">
        <v>297</v>
      </c>
      <c r="F108" s="2" t="s">
        <v>36</v>
      </c>
      <c r="G108" s="16" t="n">
        <v>10.5</v>
      </c>
      <c r="H108" s="16" t="n">
        <v>10</v>
      </c>
      <c r="I108" s="16" t="n">
        <v>9.6</v>
      </c>
      <c r="J108" s="16" t="n">
        <v>9</v>
      </c>
      <c r="K108" s="16" t="n">
        <v>8.2</v>
      </c>
      <c r="L108" s="16" t="n">
        <v>7.5</v>
      </c>
      <c r="M108" s="16" t="n">
        <v>6.9</v>
      </c>
      <c r="N108" s="16" t="n">
        <v>6.5</v>
      </c>
      <c r="O108" s="16" t="n">
        <f aca="false">INDEX($G108:$N108,1,MATCH(Inputs!$B$16,$G$4:$N$4,0))</f>
        <v>9.6</v>
      </c>
    </row>
    <row r="109" customFormat="false" ht="15" hidden="false" customHeight="false" outlineLevel="0" collapsed="false">
      <c r="A109" s="2" t="s">
        <v>295</v>
      </c>
      <c r="B109" s="2"/>
      <c r="C109" s="2" t="s">
        <v>71</v>
      </c>
      <c r="D109" s="2" t="s">
        <v>298</v>
      </c>
      <c r="E109" s="2" t="s">
        <v>299</v>
      </c>
      <c r="F109" s="2" t="s">
        <v>36</v>
      </c>
      <c r="G109" s="16" t="n">
        <v>9.22</v>
      </c>
      <c r="H109" s="16" t="n">
        <v>8.78</v>
      </c>
      <c r="I109" s="16" t="n">
        <v>8.43</v>
      </c>
      <c r="J109" s="16" t="n">
        <v>7.9</v>
      </c>
      <c r="K109" s="16" t="n">
        <v>7.2</v>
      </c>
      <c r="L109" s="16" t="n">
        <v>6.59</v>
      </c>
      <c r="M109" s="16" t="n">
        <v>6.06</v>
      </c>
      <c r="N109" s="16" t="n">
        <v>5.71</v>
      </c>
      <c r="O109" s="16" t="n">
        <f aca="false">INDEX($G109:$N109,1,MATCH(Inputs!$B$16,$G$4:$N$4,0))</f>
        <v>8.43</v>
      </c>
    </row>
    <row r="110" customFormat="false" ht="15" hidden="false" customHeight="false" outlineLevel="0" collapsed="false">
      <c r="A110" s="2" t="s">
        <v>295</v>
      </c>
      <c r="B110" s="2"/>
      <c r="C110" s="2" t="s">
        <v>71</v>
      </c>
      <c r="D110" s="2" t="s">
        <v>300</v>
      </c>
      <c r="E110" s="2" t="s">
        <v>301</v>
      </c>
      <c r="F110" s="2" t="s">
        <v>36</v>
      </c>
      <c r="G110" s="16" t="n">
        <v>2.88</v>
      </c>
      <c r="H110" s="16" t="n">
        <v>2.74</v>
      </c>
      <c r="I110" s="16" t="n">
        <v>2.63</v>
      </c>
      <c r="J110" s="16" t="n">
        <v>2.47</v>
      </c>
      <c r="K110" s="16" t="n">
        <v>2.25</v>
      </c>
      <c r="L110" s="16" t="n">
        <v>2.06</v>
      </c>
      <c r="M110" s="16" t="n">
        <v>1.89</v>
      </c>
      <c r="N110" s="16" t="n">
        <v>1.78</v>
      </c>
      <c r="O110" s="16" t="n">
        <f aca="false">INDEX($G110:$N110,1,MATCH(Inputs!$B$16,$G$4:$N$4,0))</f>
        <v>2.63</v>
      </c>
    </row>
    <row r="111" customFormat="false" ht="15" hidden="false" customHeight="false" outlineLevel="0" collapsed="false">
      <c r="A111" s="2" t="s">
        <v>295</v>
      </c>
      <c r="B111" s="2"/>
      <c r="C111" s="2" t="s">
        <v>71</v>
      </c>
      <c r="D111" s="2" t="s">
        <v>302</v>
      </c>
      <c r="E111" s="2" t="s">
        <v>303</v>
      </c>
      <c r="F111" s="2" t="s">
        <v>36</v>
      </c>
      <c r="G111" s="16" t="n">
        <v>0.1146</v>
      </c>
      <c r="H111" s="16" t="n">
        <v>0.1091</v>
      </c>
      <c r="I111" s="16" t="n">
        <v>0.1047</v>
      </c>
      <c r="J111" s="16" t="n">
        <v>0.0982</v>
      </c>
      <c r="K111" s="16" t="n">
        <v>0.0895</v>
      </c>
      <c r="L111" s="16" t="n">
        <v>0.0819</v>
      </c>
      <c r="M111" s="16" t="n">
        <v>0.0753</v>
      </c>
      <c r="N111" s="16" t="n">
        <v>0.0709</v>
      </c>
      <c r="O111" s="16" t="n">
        <f aca="false">INDEX($G111:$N111,1,MATCH(Inputs!$B$16,$G$4:$N$4,0))</f>
        <v>0.1047</v>
      </c>
    </row>
    <row r="112" customFormat="false" ht="15" hidden="false" customHeight="false" outlineLevel="0" collapsed="false">
      <c r="A112" s="2" t="s">
        <v>295</v>
      </c>
      <c r="B112" s="2"/>
      <c r="C112" s="2" t="s">
        <v>71</v>
      </c>
      <c r="D112" s="2" t="s">
        <v>304</v>
      </c>
      <c r="E112" s="2" t="s">
        <v>305</v>
      </c>
      <c r="F112" s="2" t="s">
        <v>36</v>
      </c>
      <c r="G112" s="16" t="n">
        <v>3</v>
      </c>
      <c r="H112" s="16" t="n">
        <v>2.79</v>
      </c>
      <c r="I112" s="16" t="n">
        <v>2.57</v>
      </c>
      <c r="J112" s="16" t="n">
        <v>2.31</v>
      </c>
      <c r="K112" s="16" t="n">
        <v>2.13</v>
      </c>
      <c r="L112" s="16" t="n">
        <v>2.04</v>
      </c>
      <c r="M112" s="16" t="n">
        <v>1.94</v>
      </c>
      <c r="N112" s="16" t="n">
        <v>1.9</v>
      </c>
      <c r="O112" s="16" t="n">
        <f aca="false">INDEX($G112:$N112,1,MATCH(Inputs!$B$16,$G$4:$N$4,0))</f>
        <v>2.57</v>
      </c>
    </row>
    <row r="113" customFormat="false" ht="15" hidden="false" customHeight="false" outlineLevel="0" collapsed="false">
      <c r="A113" s="2" t="s">
        <v>295</v>
      </c>
      <c r="B113" s="2"/>
      <c r="C113" s="2" t="s">
        <v>71</v>
      </c>
      <c r="D113" s="2" t="s">
        <v>306</v>
      </c>
      <c r="E113" s="2" t="s">
        <v>307</v>
      </c>
      <c r="F113" s="2" t="s">
        <v>36</v>
      </c>
      <c r="G113" s="16" t="n">
        <v>11.5</v>
      </c>
      <c r="H113" s="16" t="n">
        <v>11</v>
      </c>
      <c r="I113" s="16" t="n">
        <v>10.5</v>
      </c>
      <c r="J113" s="16" t="n">
        <v>10</v>
      </c>
      <c r="K113" s="16" t="n">
        <v>9.5</v>
      </c>
      <c r="L113" s="16" t="n">
        <v>9</v>
      </c>
      <c r="M113" s="16" t="n">
        <v>8.5</v>
      </c>
      <c r="N113" s="16" t="n">
        <v>8</v>
      </c>
      <c r="O113" s="16" t="n">
        <f aca="false">INDEX($G113:$N113,1,MATCH(Inputs!$B$16,$G$4:$N$4,0))</f>
        <v>10.5</v>
      </c>
    </row>
    <row r="114" customFormat="false" ht="15" hidden="false" customHeight="false" outlineLevel="0" collapsed="false">
      <c r="A114" s="2" t="s">
        <v>308</v>
      </c>
      <c r="B114" s="2"/>
      <c r="C114" s="2" t="s">
        <v>79</v>
      </c>
      <c r="D114" s="2" t="s">
        <v>309</v>
      </c>
      <c r="E114" s="2" t="s">
        <v>310</v>
      </c>
      <c r="F114" s="2" t="s">
        <v>36</v>
      </c>
      <c r="G114" s="16" t="n">
        <v>12</v>
      </c>
      <c r="H114" s="16" t="n">
        <v>11.69</v>
      </c>
      <c r="I114" s="16" t="n">
        <v>11.45</v>
      </c>
      <c r="J114" s="16" t="n">
        <v>11.2</v>
      </c>
      <c r="K114" s="16" t="n">
        <v>10.96</v>
      </c>
      <c r="L114" s="16" t="n">
        <v>10.72</v>
      </c>
      <c r="M114" s="16" t="n">
        <v>10.48</v>
      </c>
      <c r="N114" s="16" t="n">
        <v>10.24</v>
      </c>
      <c r="O114" s="16" t="n">
        <f aca="false">INDEX($G114:$N114,1,MATCH(Inputs!$B$16,$G$4:$N$4,0))</f>
        <v>11.45</v>
      </c>
    </row>
    <row r="115" customFormat="false" ht="15" hidden="false" customHeight="false" outlineLevel="0" collapsed="false">
      <c r="A115" s="2" t="s">
        <v>308</v>
      </c>
      <c r="B115" s="2"/>
      <c r="C115" s="2" t="s">
        <v>79</v>
      </c>
      <c r="D115" s="2" t="s">
        <v>311</v>
      </c>
      <c r="E115" s="2" t="s">
        <v>312</v>
      </c>
      <c r="F115" s="2" t="s">
        <v>36</v>
      </c>
      <c r="G115" s="16" t="n">
        <v>1</v>
      </c>
      <c r="H115" s="16" t="n">
        <v>0.97</v>
      </c>
      <c r="I115" s="16" t="n">
        <v>0.95</v>
      </c>
      <c r="J115" s="16" t="n">
        <v>0.93</v>
      </c>
      <c r="K115" s="16" t="n">
        <v>0.91</v>
      </c>
      <c r="L115" s="16" t="n">
        <v>0.89</v>
      </c>
      <c r="M115" s="16" t="n">
        <v>0.87</v>
      </c>
      <c r="N115" s="16" t="n">
        <v>0.85</v>
      </c>
      <c r="O115" s="16" t="n">
        <f aca="false">INDEX($G115:$N115,1,MATCH(Inputs!$B$16,$G$4:$N$4,0))</f>
        <v>0.95</v>
      </c>
    </row>
    <row r="116" customFormat="false" ht="15" hidden="false" customHeight="false" outlineLevel="0" collapsed="false">
      <c r="A116" s="2" t="s">
        <v>313</v>
      </c>
      <c r="B116" s="2"/>
      <c r="C116" s="2" t="s">
        <v>71</v>
      </c>
      <c r="D116" s="2" t="s">
        <v>314</v>
      </c>
      <c r="E116" s="2" t="s">
        <v>315</v>
      </c>
      <c r="F116" s="2" t="s">
        <v>30</v>
      </c>
      <c r="G116" s="16" t="n">
        <v>1.7</v>
      </c>
      <c r="H116" s="16" t="n">
        <v>1.51</v>
      </c>
      <c r="I116" s="16" t="n">
        <v>1.36</v>
      </c>
      <c r="J116" s="16" t="n">
        <v>1.12</v>
      </c>
      <c r="K116" s="16" t="n">
        <v>0.99</v>
      </c>
      <c r="L116" s="16" t="n">
        <v>0.93</v>
      </c>
      <c r="M116" s="16" t="n">
        <v>0.89</v>
      </c>
      <c r="N116" s="16" t="n">
        <v>0.85</v>
      </c>
      <c r="O116" s="16" t="n">
        <f aca="false">INDEX($G116:$N116,1,MATCH(Inputs!$B$16,$G$4:$N$4,0))</f>
        <v>1.36</v>
      </c>
    </row>
    <row r="117" customFormat="false" ht="15" hidden="false" customHeight="false" outlineLevel="0" collapsed="false">
      <c r="A117" s="2" t="s">
        <v>313</v>
      </c>
      <c r="B117" s="2"/>
      <c r="C117" s="2" t="s">
        <v>79</v>
      </c>
      <c r="D117" s="2" t="s">
        <v>316</v>
      </c>
      <c r="E117" s="2" t="s">
        <v>317</v>
      </c>
      <c r="F117" s="2" t="s">
        <v>32</v>
      </c>
      <c r="G117" s="16" t="n">
        <v>0.0435</v>
      </c>
      <c r="H117" s="16" t="n">
        <v>0.0387</v>
      </c>
      <c r="I117" s="16" t="n">
        <v>0.0341</v>
      </c>
      <c r="J117" s="16" t="n">
        <v>0.0286</v>
      </c>
      <c r="K117" s="16" t="n">
        <v>0.0232</v>
      </c>
      <c r="L117" s="16" t="n">
        <v>0.0218</v>
      </c>
      <c r="M117" s="16" t="n">
        <v>0.0209</v>
      </c>
      <c r="N117" s="16" t="n">
        <v>0.0203</v>
      </c>
      <c r="O117" s="16" t="n">
        <f aca="false">INDEX($G117:$N117,1,MATCH(Inputs!$B$16,$G$4:$N$4,0))</f>
        <v>0.0341</v>
      </c>
    </row>
    <row r="118" customFormat="false" ht="15" hidden="false" customHeight="false" outlineLevel="0" collapsed="false">
      <c r="A118" s="2" t="s">
        <v>313</v>
      </c>
      <c r="B118" s="2"/>
      <c r="C118" s="2" t="s">
        <v>92</v>
      </c>
      <c r="D118" s="2" t="s">
        <v>318</v>
      </c>
      <c r="E118" s="2" t="s">
        <v>319</v>
      </c>
      <c r="F118" s="2" t="s">
        <v>32</v>
      </c>
      <c r="G118" s="16" t="n">
        <v>0.0546</v>
      </c>
      <c r="H118" s="16" t="n">
        <v>0.0486</v>
      </c>
      <c r="I118" s="16" t="n">
        <v>0.0428</v>
      </c>
      <c r="J118" s="16" t="n">
        <v>0.036</v>
      </c>
      <c r="K118" s="16" t="n">
        <v>0.0292</v>
      </c>
      <c r="L118" s="16" t="n">
        <v>0.0274</v>
      </c>
      <c r="M118" s="16" t="n">
        <v>0.0263</v>
      </c>
      <c r="N118" s="16" t="n">
        <v>0.0258</v>
      </c>
      <c r="O118" s="16" t="n">
        <f aca="false">INDEX($G118:$N118,1,MATCH(Inputs!$B$16,$G$4:$N$4,0))</f>
        <v>0.0428</v>
      </c>
    </row>
    <row r="119" customFormat="false" ht="15" hidden="false" customHeight="false" outlineLevel="0" collapsed="false">
      <c r="A119" s="2" t="s">
        <v>313</v>
      </c>
      <c r="B119" s="2"/>
      <c r="C119" s="2" t="s">
        <v>79</v>
      </c>
      <c r="D119" s="2" t="s">
        <v>320</v>
      </c>
      <c r="E119" s="2" t="s">
        <v>321</v>
      </c>
      <c r="F119" s="2" t="s">
        <v>32</v>
      </c>
      <c r="G119" s="16" t="n">
        <v>0.124</v>
      </c>
      <c r="H119" s="16" t="n">
        <v>0.1104</v>
      </c>
      <c r="I119" s="16" t="n">
        <v>0.0972</v>
      </c>
      <c r="J119" s="16" t="n">
        <v>0.0885</v>
      </c>
      <c r="K119" s="16" t="n">
        <v>0.0832</v>
      </c>
      <c r="L119" s="16" t="n">
        <v>0.0799</v>
      </c>
      <c r="M119" s="16" t="n">
        <v>0.0767</v>
      </c>
      <c r="N119" s="16" t="n">
        <v>0.0744</v>
      </c>
      <c r="O119" s="16" t="n">
        <f aca="false">INDEX($G119:$N119,1,MATCH(Inputs!$B$16,$G$4:$N$4,0))</f>
        <v>0.0972</v>
      </c>
    </row>
    <row r="120" customFormat="false" ht="15" hidden="false" customHeight="false" outlineLevel="0" collapsed="false">
      <c r="A120" s="2" t="s">
        <v>313</v>
      </c>
      <c r="B120" s="2"/>
      <c r="C120" s="2" t="s">
        <v>92</v>
      </c>
      <c r="D120" s="2" t="s">
        <v>322</v>
      </c>
      <c r="E120" s="2" t="s">
        <v>323</v>
      </c>
      <c r="F120" s="2" t="s">
        <v>32</v>
      </c>
      <c r="G120" s="16" t="n">
        <v>0.134</v>
      </c>
      <c r="H120" s="16" t="n">
        <v>0.1193</v>
      </c>
      <c r="I120" s="16" t="n">
        <v>0.105</v>
      </c>
      <c r="J120" s="16" t="n">
        <v>0.0956</v>
      </c>
      <c r="K120" s="16" t="n">
        <v>0.0899</v>
      </c>
      <c r="L120" s="16" t="n">
        <v>0.0863</v>
      </c>
      <c r="M120" s="16" t="n">
        <v>0.0828</v>
      </c>
      <c r="N120" s="16" t="n">
        <v>0.0803</v>
      </c>
      <c r="O120" s="16" t="n">
        <f aca="false">INDEX($G120:$N120,1,MATCH(Inputs!$B$16,$G$4:$N$4,0))</f>
        <v>0.105</v>
      </c>
    </row>
    <row r="121" customFormat="false" ht="15" hidden="false" customHeight="false" outlineLevel="0" collapsed="false">
      <c r="A121" s="2" t="s">
        <v>313</v>
      </c>
      <c r="B121" s="2"/>
      <c r="C121" s="2" t="s">
        <v>71</v>
      </c>
      <c r="D121" s="2" t="s">
        <v>324</v>
      </c>
      <c r="E121" s="2" t="s">
        <v>325</v>
      </c>
      <c r="F121" s="2" t="s">
        <v>32</v>
      </c>
      <c r="G121" s="16" t="n">
        <v>0.072</v>
      </c>
      <c r="H121" s="16" t="n">
        <v>0.0641</v>
      </c>
      <c r="I121" s="16" t="n">
        <v>0.0564</v>
      </c>
      <c r="J121" s="16" t="n">
        <v>0.0513</v>
      </c>
      <c r="K121" s="16" t="n">
        <v>0.0482</v>
      </c>
      <c r="L121" s="16" t="n">
        <v>0.0463</v>
      </c>
      <c r="M121" s="16" t="n">
        <v>0.0444</v>
      </c>
      <c r="N121" s="16" t="n">
        <v>0.0431</v>
      </c>
      <c r="O121" s="16" t="n">
        <f aca="false">INDEX($G121:$N121,1,MATCH(Inputs!$B$16,$G$4:$N$4,0))</f>
        <v>0.0564</v>
      </c>
    </row>
    <row r="122" customFormat="false" ht="15" hidden="false" customHeight="false" outlineLevel="0" collapsed="false">
      <c r="A122" s="2" t="s">
        <v>326</v>
      </c>
      <c r="B122" s="2"/>
      <c r="C122" s="2" t="s">
        <v>71</v>
      </c>
      <c r="D122" s="2" t="s">
        <v>327</v>
      </c>
      <c r="E122" s="2" t="s">
        <v>328</v>
      </c>
      <c r="F122" s="2" t="s">
        <v>38</v>
      </c>
      <c r="G122" s="16" t="n">
        <v>99</v>
      </c>
      <c r="H122" s="16" t="n">
        <v>99</v>
      </c>
      <c r="I122" s="16" t="n">
        <v>99</v>
      </c>
      <c r="J122" s="16" t="n">
        <v>99</v>
      </c>
      <c r="K122" s="16" t="n">
        <v>99</v>
      </c>
      <c r="L122" s="16" t="n">
        <v>99</v>
      </c>
      <c r="M122" s="16" t="n">
        <v>99</v>
      </c>
      <c r="N122" s="16" t="n">
        <v>99</v>
      </c>
      <c r="O122" s="16" t="n">
        <f aca="false">INDEX($G122:$N122,1,MATCH(Inputs!$B$16,$G$4:$N$4,0))</f>
        <v>99</v>
      </c>
    </row>
    <row r="123" customFormat="false" ht="15" hidden="false" customHeight="false" outlineLevel="0" collapsed="false">
      <c r="A123" s="2" t="s">
        <v>329</v>
      </c>
      <c r="B123" s="2"/>
      <c r="C123" s="2" t="s">
        <v>71</v>
      </c>
      <c r="D123" s="2" t="s">
        <v>330</v>
      </c>
      <c r="E123" s="2" t="s">
        <v>331</v>
      </c>
      <c r="F123" s="2" t="s">
        <v>36</v>
      </c>
      <c r="G123" s="16" t="n">
        <v>0.015</v>
      </c>
      <c r="H123" s="16" t="n">
        <v>0.0134</v>
      </c>
      <c r="I123" s="16" t="n">
        <v>0.0118</v>
      </c>
      <c r="J123" s="16" t="n">
        <v>0.0104</v>
      </c>
      <c r="K123" s="16" t="n">
        <v>0.0094</v>
      </c>
      <c r="L123" s="16" t="n">
        <v>0.009</v>
      </c>
      <c r="M123" s="16" t="n">
        <v>0.0086</v>
      </c>
      <c r="N123" s="16" t="n">
        <v>0.0083</v>
      </c>
      <c r="O123" s="16" t="n">
        <f aca="false">INDEX($G123:$N123,1,MATCH(Inputs!$B$16,$G$4:$N$4,0))</f>
        <v>0.0118</v>
      </c>
    </row>
  </sheetData>
  <autoFilter ref="A3:O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1" min="9" style="0" width="12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6" min="15" style="0" width="18"/>
  </cols>
  <sheetData>
    <row r="1" customFormat="false" ht="17.35" hidden="false" customHeight="false" outlineLevel="0" collapsed="false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333</v>
      </c>
      <c r="B2" s="2" t="str">
        <f aca="false">Inputs!B10</f>
        <v>Example Trading Co. (illustrative)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 t="s">
        <v>334</v>
      </c>
      <c r="B3" s="2" t="str">
        <f aca="false">Inputs!B13</f>
        <v>SAR</v>
      </c>
      <c r="C3" s="3" t="s">
        <v>335</v>
      </c>
      <c r="D3" s="17" t="n">
        <f aca="false">Inputs!B14</f>
        <v>3.75</v>
      </c>
      <c r="E3" s="3" t="s">
        <v>336</v>
      </c>
      <c r="F3" s="18" t="n">
        <f aca="false">Inputs!B16</f>
        <v>1000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3" t="s">
        <v>337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30" hidden="false" customHeight="true" outlineLevel="0" collapsed="false">
      <c r="A7" s="11" t="s">
        <v>338</v>
      </c>
      <c r="B7" s="11" t="s">
        <v>58</v>
      </c>
      <c r="C7" s="11" t="s">
        <v>57</v>
      </c>
      <c r="D7" s="11" t="s">
        <v>55</v>
      </c>
      <c r="E7" s="11" t="s">
        <v>56</v>
      </c>
      <c r="F7" s="11" t="s">
        <v>339</v>
      </c>
      <c r="G7" s="11" t="s">
        <v>340</v>
      </c>
      <c r="H7" s="11" t="s">
        <v>23</v>
      </c>
      <c r="I7" s="11" t="s">
        <v>341</v>
      </c>
      <c r="J7" s="11" t="s">
        <v>342</v>
      </c>
      <c r="K7" s="11" t="s">
        <v>343</v>
      </c>
      <c r="L7" s="11" t="s">
        <v>344</v>
      </c>
      <c r="M7" s="11" t="s">
        <v>345</v>
      </c>
      <c r="N7" s="11" t="s">
        <v>346</v>
      </c>
      <c r="O7" s="11" t="s">
        <v>347</v>
      </c>
      <c r="P7" s="11" t="s">
        <v>348</v>
      </c>
    </row>
    <row r="8" customFormat="false" ht="15" hidden="false" customHeight="false" outlineLevel="0" collapsed="false">
      <c r="A8" s="19" t="n">
        <v>1</v>
      </c>
      <c r="B8" s="20" t="s">
        <v>117</v>
      </c>
      <c r="C8" s="19" t="str">
        <f aca="false">IF($B8="","",INDEX(Pricelist!$D$5:$D$123,MATCH($B8,Pricelist!$E$5:$E$123,0)))</f>
        <v>SUPHMSENS</v>
      </c>
      <c r="D8" s="19" t="str">
        <f aca="false">IF($B8="","",INDEX(Pricelist!$B$5:$B$123,MATCH($B8,Pricelist!$E$5:$E$123,0)))</f>
        <v>Ultimate Protection</v>
      </c>
      <c r="E8" s="19" t="str">
        <f aca="false">IF($B8="","",INDEX(Pricelist!$C$5:$C$123,MATCH($B8,Pricelist!$E$5:$E$123,0)))</f>
        <v>G2</v>
      </c>
      <c r="F8" s="21" t="n">
        <v>2</v>
      </c>
      <c r="G8" s="22" t="n">
        <f aca="false">IF($B8="","",INDEX(Pricelist!$O$5:$O$123,MATCH($B8,Pricelist!$E$5:$E$123,0)))</f>
        <v>74.87</v>
      </c>
      <c r="H8" s="19" t="str">
        <f aca="false">IF($B8="","",INDEX(Pricelist!$F$5:$F$123,MATCH($B8,Pricelist!$E$5:$E$123,0)))</f>
        <v>Bundles</v>
      </c>
      <c r="I8" s="23" t="n">
        <f aca="false">IF($B8="","",INDEX(Inputs!$B$24:$B$30,MATCH($H8,Inputs!$A$24:$A$30,0)))</f>
        <v>0.35</v>
      </c>
      <c r="J8" s="24"/>
      <c r="K8" s="23" t="n">
        <f aca="false">IF($B8="","",IF($J8="",$I8,$J8))</f>
        <v>0.35</v>
      </c>
      <c r="L8" s="22" t="n">
        <f aca="false">IF($B8="","",IF($K8&gt;=1,"margin must be below 100%",$G8/(1-$K8)))</f>
        <v>115.184615384615</v>
      </c>
      <c r="M8" s="22" t="n">
        <f aca="false">IF($B8="","",ROUND($L8*Inputs!$B$14,Inputs!$B$19))</f>
        <v>431.94</v>
      </c>
      <c r="N8" s="25" t="n">
        <f aca="false">IF($B8="","",$F8*$G8)</f>
        <v>149.74</v>
      </c>
      <c r="O8" s="25" t="n">
        <f aca="false">IF($B8="","",$F8*$M8)</f>
        <v>863.88</v>
      </c>
      <c r="P8" s="25" t="n">
        <f aca="false">IF($B8="","",$O8*12)</f>
        <v>10366.56</v>
      </c>
    </row>
    <row r="9" customFormat="false" ht="15" hidden="false" customHeight="false" outlineLevel="0" collapsed="false">
      <c r="A9" s="19" t="n">
        <v>2</v>
      </c>
      <c r="B9" s="20" t="s">
        <v>121</v>
      </c>
      <c r="C9" s="19" t="str">
        <f aca="false">IF($B9="","",INDEX(Pricelist!$D$5:$D$123,MATCH($B9,Pricelist!$E$5:$E$123,0)))</f>
        <v>SUPJMSENS</v>
      </c>
      <c r="D9" s="19" t="str">
        <f aca="false">IF($B9="","",INDEX(Pricelist!$B$5:$B$123,MATCH($B9,Pricelist!$E$5:$E$123,0)))</f>
        <v>Ultimate Protection</v>
      </c>
      <c r="E9" s="19" t="str">
        <f aca="false">IF($B9="","",INDEX(Pricelist!$C$5:$C$123,MATCH($B9,Pricelist!$E$5:$E$123,0)))</f>
        <v>G2</v>
      </c>
      <c r="F9" s="21" t="n">
        <v>25</v>
      </c>
      <c r="G9" s="22" t="n">
        <f aca="false">IF($B9="","",INDEX(Pricelist!$O$5:$O$123,MATCH($B9,Pricelist!$E$5:$E$123,0)))</f>
        <v>13.86</v>
      </c>
      <c r="H9" s="19" t="str">
        <f aca="false">IF($B9="","",INDEX(Pricelist!$F$5:$F$123,MATCH($B9,Pricelist!$E$5:$E$123,0)))</f>
        <v>Bundles</v>
      </c>
      <c r="I9" s="23" t="n">
        <f aca="false">IF($B9="","",INDEX(Inputs!$B$24:$B$30,MATCH($H9,Inputs!$A$24:$A$30,0)))</f>
        <v>0.35</v>
      </c>
      <c r="J9" s="24"/>
      <c r="K9" s="23" t="n">
        <f aca="false">IF($B9="","",IF($J9="",$I9,$J9))</f>
        <v>0.35</v>
      </c>
      <c r="L9" s="22" t="n">
        <f aca="false">IF($B9="","",IF($K9&gt;=1,"margin must be below 100%",$G9/(1-$K9)))</f>
        <v>21.3230769230769</v>
      </c>
      <c r="M9" s="22" t="n">
        <f aca="false">IF($B9="","",ROUND($L9*Inputs!$B$14,Inputs!$B$19))</f>
        <v>79.96</v>
      </c>
      <c r="N9" s="25" t="n">
        <f aca="false">IF($B9="","",$F9*$G9)</f>
        <v>346.5</v>
      </c>
      <c r="O9" s="25" t="n">
        <f aca="false">IF($B9="","",$F9*$M9)</f>
        <v>1999</v>
      </c>
      <c r="P9" s="25" t="n">
        <f aca="false">IF($B9="","",$O9*12)</f>
        <v>23988</v>
      </c>
    </row>
    <row r="10" customFormat="false" ht="15" hidden="false" customHeight="false" outlineLevel="0" collapsed="false">
      <c r="A10" s="19" t="n">
        <v>3</v>
      </c>
      <c r="B10" s="20" t="s">
        <v>123</v>
      </c>
      <c r="C10" s="19" t="str">
        <f aca="false">IF($B10="","",INDEX(Pricelist!$D$5:$D$123,MATCH($B10,Pricelist!$E$5:$E$123,0)))</f>
        <v>SUPKMSENS</v>
      </c>
      <c r="D10" s="19" t="str">
        <f aca="false">IF($B10="","",INDEX(Pricelist!$B$5:$B$123,MATCH($B10,Pricelist!$E$5:$E$123,0)))</f>
        <v>Ultimate Protection</v>
      </c>
      <c r="E10" s="19" t="str">
        <f aca="false">IF($B10="","",INDEX(Pricelist!$C$5:$C$123,MATCH($B10,Pricelist!$E$5:$E$123,0)))</f>
        <v>G2</v>
      </c>
      <c r="F10" s="21" t="n">
        <v>30</v>
      </c>
      <c r="G10" s="22" t="n">
        <f aca="false">IF($B10="","",INDEX(Pricelist!$O$5:$O$123,MATCH($B10,Pricelist!$E$5:$E$123,0)))</f>
        <v>8.49</v>
      </c>
      <c r="H10" s="19" t="str">
        <f aca="false">IF($B10="","",INDEX(Pricelist!$F$5:$F$123,MATCH($B10,Pricelist!$E$5:$E$123,0)))</f>
        <v>Bundles</v>
      </c>
      <c r="I10" s="23" t="n">
        <f aca="false">IF($B10="","",INDEX(Inputs!$B$24:$B$30,MATCH($H10,Inputs!$A$24:$A$30,0)))</f>
        <v>0.35</v>
      </c>
      <c r="J10" s="24"/>
      <c r="K10" s="23" t="n">
        <f aca="false">IF($B10="","",IF($J10="",$I10,$J10))</f>
        <v>0.35</v>
      </c>
      <c r="L10" s="22" t="n">
        <f aca="false">IF($B10="","",IF($K10&gt;=1,"margin must be below 100%",$G10/(1-$K10)))</f>
        <v>13.0615384615385</v>
      </c>
      <c r="M10" s="22" t="n">
        <f aca="false">IF($B10="","",ROUND($L10*Inputs!$B$14,Inputs!$B$19))</f>
        <v>48.98</v>
      </c>
      <c r="N10" s="25" t="n">
        <f aca="false">IF($B10="","",$F10*$G10)</f>
        <v>254.7</v>
      </c>
      <c r="O10" s="25" t="n">
        <f aca="false">IF($B10="","",$F10*$M10)</f>
        <v>1469.4</v>
      </c>
      <c r="P10" s="25" t="n">
        <f aca="false">IF($B10="","",$O10*12)</f>
        <v>17632.8</v>
      </c>
    </row>
    <row r="11" customFormat="false" ht="15" hidden="false" customHeight="false" outlineLevel="0" collapsed="false">
      <c r="A11" s="19" t="n">
        <v>4</v>
      </c>
      <c r="B11" s="20" t="s">
        <v>141</v>
      </c>
      <c r="C11" s="19" t="str">
        <f aca="false">IF($B11="","",INDEX(Pricelist!$D$5:$D$123,MATCH($B11,Pricelist!$E$5:$E$123,0)))</f>
        <v>SBSTFNLOS</v>
      </c>
      <c r="D11" s="19" t="str">
        <f aca="false">IF($B11="","",INDEX(Pricelist!$B$5:$B$123,MATCH($B11,Pricelist!$E$5:$E$123,0)))</f>
        <v>Security Awareness Training</v>
      </c>
      <c r="E11" s="19" t="str">
        <f aca="false">IF($B11="","",INDEX(Pricelist!$C$5:$C$123,MATCH($B11,Pricelist!$E$5:$E$123,0)))</f>
        <v>All</v>
      </c>
      <c r="F11" s="21" t="n">
        <v>30</v>
      </c>
      <c r="G11" s="22" t="n">
        <f aca="false">IF($B11="","",INDEX(Pricelist!$O$5:$O$123,MATCH($B11,Pricelist!$E$5:$E$123,0)))</f>
        <v>1.24</v>
      </c>
      <c r="H11" s="19" t="str">
        <f aca="false">IF($B11="","",INDEX(Pricelist!$F$5:$F$123,MATCH($B11,Pricelist!$E$5:$E$123,0)))</f>
        <v>Bundles</v>
      </c>
      <c r="I11" s="23" t="n">
        <f aca="false">IF($B11="","",INDEX(Inputs!$B$24:$B$30,MATCH($H11,Inputs!$A$24:$A$30,0)))</f>
        <v>0.35</v>
      </c>
      <c r="J11" s="24"/>
      <c r="K11" s="23" t="n">
        <f aca="false">IF($B11="","",IF($J11="",$I11,$J11))</f>
        <v>0.35</v>
      </c>
      <c r="L11" s="22" t="n">
        <f aca="false">IF($B11="","",IF($K11&gt;=1,"margin must be below 100%",$G11/(1-$K11)))</f>
        <v>1.90769230769231</v>
      </c>
      <c r="M11" s="22" t="n">
        <f aca="false">IF($B11="","",ROUND($L11*Inputs!$B$14,Inputs!$B$19))</f>
        <v>7.15</v>
      </c>
      <c r="N11" s="25" t="n">
        <f aca="false">IF($B11="","",$F11*$G11)</f>
        <v>37.2</v>
      </c>
      <c r="O11" s="25" t="n">
        <f aca="false">IF($B11="","",$F11*$M11)</f>
        <v>214.5</v>
      </c>
      <c r="P11" s="25" t="n">
        <f aca="false">IF($B11="","",$O11*12)</f>
        <v>2574</v>
      </c>
    </row>
    <row r="12" customFormat="false" ht="15" hidden="false" customHeight="false" outlineLevel="0" collapsed="false">
      <c r="A12" s="19" t="n">
        <v>5</v>
      </c>
      <c r="B12" s="20"/>
      <c r="C12" s="19" t="str">
        <f aca="false">IF($B12="","",INDEX(Pricelist!$D$5:$D$123,MATCH($B12,Pricelist!$E$5:$E$123,0)))</f>
        <v/>
      </c>
      <c r="D12" s="19" t="str">
        <f aca="false">IF($B12="","",INDEX(Pricelist!$B$5:$B$123,MATCH($B12,Pricelist!$E$5:$E$123,0)))</f>
        <v/>
      </c>
      <c r="E12" s="19" t="str">
        <f aca="false">IF($B12="","",INDEX(Pricelist!$C$5:$C$123,MATCH($B12,Pricelist!$E$5:$E$123,0)))</f>
        <v/>
      </c>
      <c r="F12" s="21"/>
      <c r="G12" s="22" t="str">
        <f aca="false">IF($B12="","",INDEX(Pricelist!$O$5:$O$123,MATCH($B12,Pricelist!$E$5:$E$123,0)))</f>
        <v/>
      </c>
      <c r="H12" s="19" t="str">
        <f aca="false">IF($B12="","",INDEX(Pricelist!$F$5:$F$123,MATCH($B12,Pricelist!$E$5:$E$123,0)))</f>
        <v/>
      </c>
      <c r="I12" s="23" t="str">
        <f aca="false">IF($B12="","",INDEX(Inputs!$B$24:$B$30,MATCH($H12,Inputs!$A$24:$A$30,0)))</f>
        <v/>
      </c>
      <c r="J12" s="24"/>
      <c r="K12" s="23" t="str">
        <f aca="false">IF($B12="","",IF($J12="",$I12,$J12))</f>
        <v/>
      </c>
      <c r="L12" s="22" t="str">
        <f aca="false">IF($B12="","",IF($K12&gt;=1,"margin must be below 100%",$G12/(1-$K12)))</f>
        <v/>
      </c>
      <c r="M12" s="22" t="str">
        <f aca="false">IF($B12="","",ROUND($L12*Inputs!$B$14,Inputs!$B$19))</f>
        <v/>
      </c>
      <c r="N12" s="25" t="str">
        <f aca="false">IF($B12="","",$F12*$G12)</f>
        <v/>
      </c>
      <c r="O12" s="25" t="str">
        <f aca="false">IF($B12="","",$F12*$M12)</f>
        <v/>
      </c>
      <c r="P12" s="25" t="str">
        <f aca="false">IF($B12="","",$O12*12)</f>
        <v/>
      </c>
    </row>
    <row r="13" customFormat="false" ht="15" hidden="false" customHeight="false" outlineLevel="0" collapsed="false">
      <c r="A13" s="19" t="n">
        <v>6</v>
      </c>
      <c r="B13" s="20"/>
      <c r="C13" s="19" t="str">
        <f aca="false">IF($B13="","",INDEX(Pricelist!$D$5:$D$123,MATCH($B13,Pricelist!$E$5:$E$123,0)))</f>
        <v/>
      </c>
      <c r="D13" s="19" t="str">
        <f aca="false">IF($B13="","",INDEX(Pricelist!$B$5:$B$123,MATCH($B13,Pricelist!$E$5:$E$123,0)))</f>
        <v/>
      </c>
      <c r="E13" s="19" t="str">
        <f aca="false">IF($B13="","",INDEX(Pricelist!$C$5:$C$123,MATCH($B13,Pricelist!$E$5:$E$123,0)))</f>
        <v/>
      </c>
      <c r="F13" s="21"/>
      <c r="G13" s="22" t="str">
        <f aca="false">IF($B13="","",INDEX(Pricelist!$O$5:$O$123,MATCH($B13,Pricelist!$E$5:$E$123,0)))</f>
        <v/>
      </c>
      <c r="H13" s="19" t="str">
        <f aca="false">IF($B13="","",INDEX(Pricelist!$F$5:$F$123,MATCH($B13,Pricelist!$E$5:$E$123,0)))</f>
        <v/>
      </c>
      <c r="I13" s="23" t="str">
        <f aca="false">IF($B13="","",INDEX(Inputs!$B$24:$B$30,MATCH($H13,Inputs!$A$24:$A$30,0)))</f>
        <v/>
      </c>
      <c r="J13" s="24"/>
      <c r="K13" s="23" t="str">
        <f aca="false">IF($B13="","",IF($J13="",$I13,$J13))</f>
        <v/>
      </c>
      <c r="L13" s="22" t="str">
        <f aca="false">IF($B13="","",IF($K13&gt;=1,"margin must be below 100%",$G13/(1-$K13)))</f>
        <v/>
      </c>
      <c r="M13" s="22" t="str">
        <f aca="false">IF($B13="","",ROUND($L13*Inputs!$B$14,Inputs!$B$19))</f>
        <v/>
      </c>
      <c r="N13" s="25" t="str">
        <f aca="false">IF($B13="","",$F13*$G13)</f>
        <v/>
      </c>
      <c r="O13" s="25" t="str">
        <f aca="false">IF($B13="","",$F13*$M13)</f>
        <v/>
      </c>
      <c r="P13" s="25" t="str">
        <f aca="false">IF($B13="","",$O13*12)</f>
        <v/>
      </c>
    </row>
    <row r="14" customFormat="false" ht="15" hidden="false" customHeight="false" outlineLevel="0" collapsed="false">
      <c r="A14" s="19" t="n">
        <v>7</v>
      </c>
      <c r="B14" s="20"/>
      <c r="C14" s="19" t="str">
        <f aca="false">IF($B14="","",INDEX(Pricelist!$D$5:$D$123,MATCH($B14,Pricelist!$E$5:$E$123,0)))</f>
        <v/>
      </c>
      <c r="D14" s="19" t="str">
        <f aca="false">IF($B14="","",INDEX(Pricelist!$B$5:$B$123,MATCH($B14,Pricelist!$E$5:$E$123,0)))</f>
        <v/>
      </c>
      <c r="E14" s="19" t="str">
        <f aca="false">IF($B14="","",INDEX(Pricelist!$C$5:$C$123,MATCH($B14,Pricelist!$E$5:$E$123,0)))</f>
        <v/>
      </c>
      <c r="F14" s="21"/>
      <c r="G14" s="22" t="str">
        <f aca="false">IF($B14="","",INDEX(Pricelist!$O$5:$O$123,MATCH($B14,Pricelist!$E$5:$E$123,0)))</f>
        <v/>
      </c>
      <c r="H14" s="19" t="str">
        <f aca="false">IF($B14="","",INDEX(Pricelist!$F$5:$F$123,MATCH($B14,Pricelist!$E$5:$E$123,0)))</f>
        <v/>
      </c>
      <c r="I14" s="23" t="str">
        <f aca="false">IF($B14="","",INDEX(Inputs!$B$24:$B$30,MATCH($H14,Inputs!$A$24:$A$30,0)))</f>
        <v/>
      </c>
      <c r="J14" s="24"/>
      <c r="K14" s="23" t="str">
        <f aca="false">IF($B14="","",IF($J14="",$I14,$J14))</f>
        <v/>
      </c>
      <c r="L14" s="22" t="str">
        <f aca="false">IF($B14="","",IF($K14&gt;=1,"margin must be below 100%",$G14/(1-$K14)))</f>
        <v/>
      </c>
      <c r="M14" s="22" t="str">
        <f aca="false">IF($B14="","",ROUND($L14*Inputs!$B$14,Inputs!$B$19))</f>
        <v/>
      </c>
      <c r="N14" s="25" t="str">
        <f aca="false">IF($B14="","",$F14*$G14)</f>
        <v/>
      </c>
      <c r="O14" s="25" t="str">
        <f aca="false">IF($B14="","",$F14*$M14)</f>
        <v/>
      </c>
      <c r="P14" s="25" t="str">
        <f aca="false">IF($B14="","",$O14*12)</f>
        <v/>
      </c>
    </row>
    <row r="15" customFormat="false" ht="15" hidden="false" customHeight="false" outlineLevel="0" collapsed="false">
      <c r="A15" s="19" t="n">
        <v>8</v>
      </c>
      <c r="B15" s="20"/>
      <c r="C15" s="19" t="str">
        <f aca="false">IF($B15="","",INDEX(Pricelist!$D$5:$D$123,MATCH($B15,Pricelist!$E$5:$E$123,0)))</f>
        <v/>
      </c>
      <c r="D15" s="19" t="str">
        <f aca="false">IF($B15="","",INDEX(Pricelist!$B$5:$B$123,MATCH($B15,Pricelist!$E$5:$E$123,0)))</f>
        <v/>
      </c>
      <c r="E15" s="19" t="str">
        <f aca="false">IF($B15="","",INDEX(Pricelist!$C$5:$C$123,MATCH($B15,Pricelist!$E$5:$E$123,0)))</f>
        <v/>
      </c>
      <c r="F15" s="21"/>
      <c r="G15" s="22" t="str">
        <f aca="false">IF($B15="","",INDEX(Pricelist!$O$5:$O$123,MATCH($B15,Pricelist!$E$5:$E$123,0)))</f>
        <v/>
      </c>
      <c r="H15" s="19" t="str">
        <f aca="false">IF($B15="","",INDEX(Pricelist!$F$5:$F$123,MATCH($B15,Pricelist!$E$5:$E$123,0)))</f>
        <v/>
      </c>
      <c r="I15" s="23" t="str">
        <f aca="false">IF($B15="","",INDEX(Inputs!$B$24:$B$30,MATCH($H15,Inputs!$A$24:$A$30,0)))</f>
        <v/>
      </c>
      <c r="J15" s="24"/>
      <c r="K15" s="23" t="str">
        <f aca="false">IF($B15="","",IF($J15="",$I15,$J15))</f>
        <v/>
      </c>
      <c r="L15" s="22" t="str">
        <f aca="false">IF($B15="","",IF($K15&gt;=1,"margin must be below 100%",$G15/(1-$K15)))</f>
        <v/>
      </c>
      <c r="M15" s="22" t="str">
        <f aca="false">IF($B15="","",ROUND($L15*Inputs!$B$14,Inputs!$B$19))</f>
        <v/>
      </c>
      <c r="N15" s="25" t="str">
        <f aca="false">IF($B15="","",$F15*$G15)</f>
        <v/>
      </c>
      <c r="O15" s="25" t="str">
        <f aca="false">IF($B15="","",$F15*$M15)</f>
        <v/>
      </c>
      <c r="P15" s="25" t="str">
        <f aca="false">IF($B15="","",$O15*12)</f>
        <v/>
      </c>
    </row>
    <row r="16" customFormat="false" ht="15" hidden="false" customHeight="false" outlineLevel="0" collapsed="false">
      <c r="A16" s="19" t="n">
        <v>9</v>
      </c>
      <c r="B16" s="20"/>
      <c r="C16" s="19" t="str">
        <f aca="false">IF($B16="","",INDEX(Pricelist!$D$5:$D$123,MATCH($B16,Pricelist!$E$5:$E$123,0)))</f>
        <v/>
      </c>
      <c r="D16" s="19" t="str">
        <f aca="false">IF($B16="","",INDEX(Pricelist!$B$5:$B$123,MATCH($B16,Pricelist!$E$5:$E$123,0)))</f>
        <v/>
      </c>
      <c r="E16" s="19" t="str">
        <f aca="false">IF($B16="","",INDEX(Pricelist!$C$5:$C$123,MATCH($B16,Pricelist!$E$5:$E$123,0)))</f>
        <v/>
      </c>
      <c r="F16" s="21"/>
      <c r="G16" s="22" t="str">
        <f aca="false">IF($B16="","",INDEX(Pricelist!$O$5:$O$123,MATCH($B16,Pricelist!$E$5:$E$123,0)))</f>
        <v/>
      </c>
      <c r="H16" s="19" t="str">
        <f aca="false">IF($B16="","",INDEX(Pricelist!$F$5:$F$123,MATCH($B16,Pricelist!$E$5:$E$123,0)))</f>
        <v/>
      </c>
      <c r="I16" s="23" t="str">
        <f aca="false">IF($B16="","",INDEX(Inputs!$B$24:$B$30,MATCH($H16,Inputs!$A$24:$A$30,0)))</f>
        <v/>
      </c>
      <c r="J16" s="24"/>
      <c r="K16" s="23" t="str">
        <f aca="false">IF($B16="","",IF($J16="",$I16,$J16))</f>
        <v/>
      </c>
      <c r="L16" s="22" t="str">
        <f aca="false">IF($B16="","",IF($K16&gt;=1,"margin must be below 100%",$G16/(1-$K16)))</f>
        <v/>
      </c>
      <c r="M16" s="22" t="str">
        <f aca="false">IF($B16="","",ROUND($L16*Inputs!$B$14,Inputs!$B$19))</f>
        <v/>
      </c>
      <c r="N16" s="25" t="str">
        <f aca="false">IF($B16="","",$F16*$G16)</f>
        <v/>
      </c>
      <c r="O16" s="25" t="str">
        <f aca="false">IF($B16="","",$F16*$M16)</f>
        <v/>
      </c>
      <c r="P16" s="25" t="str">
        <f aca="false">IF($B16="","",$O16*12)</f>
        <v/>
      </c>
    </row>
    <row r="17" customFormat="false" ht="15" hidden="false" customHeight="false" outlineLevel="0" collapsed="false">
      <c r="A17" s="19" t="n">
        <v>10</v>
      </c>
      <c r="B17" s="20"/>
      <c r="C17" s="19" t="str">
        <f aca="false">IF($B17="","",INDEX(Pricelist!$D$5:$D$123,MATCH($B17,Pricelist!$E$5:$E$123,0)))</f>
        <v/>
      </c>
      <c r="D17" s="19" t="str">
        <f aca="false">IF($B17="","",INDEX(Pricelist!$B$5:$B$123,MATCH($B17,Pricelist!$E$5:$E$123,0)))</f>
        <v/>
      </c>
      <c r="E17" s="19" t="str">
        <f aca="false">IF($B17="","",INDEX(Pricelist!$C$5:$C$123,MATCH($B17,Pricelist!$E$5:$E$123,0)))</f>
        <v/>
      </c>
      <c r="F17" s="21"/>
      <c r="G17" s="22" t="str">
        <f aca="false">IF($B17="","",INDEX(Pricelist!$O$5:$O$123,MATCH($B17,Pricelist!$E$5:$E$123,0)))</f>
        <v/>
      </c>
      <c r="H17" s="19" t="str">
        <f aca="false">IF($B17="","",INDEX(Pricelist!$F$5:$F$123,MATCH($B17,Pricelist!$E$5:$E$123,0)))</f>
        <v/>
      </c>
      <c r="I17" s="23" t="str">
        <f aca="false">IF($B17="","",INDEX(Inputs!$B$24:$B$30,MATCH($H17,Inputs!$A$24:$A$30,0)))</f>
        <v/>
      </c>
      <c r="J17" s="24"/>
      <c r="K17" s="23" t="str">
        <f aca="false">IF($B17="","",IF($J17="",$I17,$J17))</f>
        <v/>
      </c>
      <c r="L17" s="22" t="str">
        <f aca="false">IF($B17="","",IF($K17&gt;=1,"margin must be below 100%",$G17/(1-$K17)))</f>
        <v/>
      </c>
      <c r="M17" s="22" t="str">
        <f aca="false">IF($B17="","",ROUND($L17*Inputs!$B$14,Inputs!$B$19))</f>
        <v/>
      </c>
      <c r="N17" s="25" t="str">
        <f aca="false">IF($B17="","",$F17*$G17)</f>
        <v/>
      </c>
      <c r="O17" s="25" t="str">
        <f aca="false">IF($B17="","",$F17*$M17)</f>
        <v/>
      </c>
      <c r="P17" s="25" t="str">
        <f aca="false">IF($B17="","",$O17*12)</f>
        <v/>
      </c>
    </row>
    <row r="18" customFormat="false" ht="15" hidden="false" customHeight="false" outlineLevel="0" collapsed="false">
      <c r="A18" s="19" t="n">
        <v>11</v>
      </c>
      <c r="B18" s="20"/>
      <c r="C18" s="19" t="str">
        <f aca="false">IF($B18="","",INDEX(Pricelist!$D$5:$D$123,MATCH($B18,Pricelist!$E$5:$E$123,0)))</f>
        <v/>
      </c>
      <c r="D18" s="19" t="str">
        <f aca="false">IF($B18="","",INDEX(Pricelist!$B$5:$B$123,MATCH($B18,Pricelist!$E$5:$E$123,0)))</f>
        <v/>
      </c>
      <c r="E18" s="19" t="str">
        <f aca="false">IF($B18="","",INDEX(Pricelist!$C$5:$C$123,MATCH($B18,Pricelist!$E$5:$E$123,0)))</f>
        <v/>
      </c>
      <c r="F18" s="21"/>
      <c r="G18" s="22" t="str">
        <f aca="false">IF($B18="","",INDEX(Pricelist!$O$5:$O$123,MATCH($B18,Pricelist!$E$5:$E$123,0)))</f>
        <v/>
      </c>
      <c r="H18" s="19" t="str">
        <f aca="false">IF($B18="","",INDEX(Pricelist!$F$5:$F$123,MATCH($B18,Pricelist!$E$5:$E$123,0)))</f>
        <v/>
      </c>
      <c r="I18" s="23" t="str">
        <f aca="false">IF($B18="","",INDEX(Inputs!$B$24:$B$30,MATCH($H18,Inputs!$A$24:$A$30,0)))</f>
        <v/>
      </c>
      <c r="J18" s="24"/>
      <c r="K18" s="23" t="str">
        <f aca="false">IF($B18="","",IF($J18="",$I18,$J18))</f>
        <v/>
      </c>
      <c r="L18" s="22" t="str">
        <f aca="false">IF($B18="","",IF($K18&gt;=1,"margin must be below 100%",$G18/(1-$K18)))</f>
        <v/>
      </c>
      <c r="M18" s="22" t="str">
        <f aca="false">IF($B18="","",ROUND($L18*Inputs!$B$14,Inputs!$B$19))</f>
        <v/>
      </c>
      <c r="N18" s="25" t="str">
        <f aca="false">IF($B18="","",$F18*$G18)</f>
        <v/>
      </c>
      <c r="O18" s="25" t="str">
        <f aca="false">IF($B18="","",$F18*$M18)</f>
        <v/>
      </c>
      <c r="P18" s="25" t="str">
        <f aca="false">IF($B18="","",$O18*12)</f>
        <v/>
      </c>
    </row>
    <row r="19" customFormat="false" ht="15" hidden="false" customHeight="false" outlineLevel="0" collapsed="false">
      <c r="A19" s="19" t="n">
        <v>12</v>
      </c>
      <c r="B19" s="20"/>
      <c r="C19" s="19" t="str">
        <f aca="false">IF($B19="","",INDEX(Pricelist!$D$5:$D$123,MATCH($B19,Pricelist!$E$5:$E$123,0)))</f>
        <v/>
      </c>
      <c r="D19" s="19" t="str">
        <f aca="false">IF($B19="","",INDEX(Pricelist!$B$5:$B$123,MATCH($B19,Pricelist!$E$5:$E$123,0)))</f>
        <v/>
      </c>
      <c r="E19" s="19" t="str">
        <f aca="false">IF($B19="","",INDEX(Pricelist!$C$5:$C$123,MATCH($B19,Pricelist!$E$5:$E$123,0)))</f>
        <v/>
      </c>
      <c r="F19" s="21"/>
      <c r="G19" s="22" t="str">
        <f aca="false">IF($B19="","",INDEX(Pricelist!$O$5:$O$123,MATCH($B19,Pricelist!$E$5:$E$123,0)))</f>
        <v/>
      </c>
      <c r="H19" s="19" t="str">
        <f aca="false">IF($B19="","",INDEX(Pricelist!$F$5:$F$123,MATCH($B19,Pricelist!$E$5:$E$123,0)))</f>
        <v/>
      </c>
      <c r="I19" s="23" t="str">
        <f aca="false">IF($B19="","",INDEX(Inputs!$B$24:$B$30,MATCH($H19,Inputs!$A$24:$A$30,0)))</f>
        <v/>
      </c>
      <c r="J19" s="24"/>
      <c r="K19" s="23" t="str">
        <f aca="false">IF($B19="","",IF($J19="",$I19,$J19))</f>
        <v/>
      </c>
      <c r="L19" s="22" t="str">
        <f aca="false">IF($B19="","",IF($K19&gt;=1,"margin must be below 100%",$G19/(1-$K19)))</f>
        <v/>
      </c>
      <c r="M19" s="22" t="str">
        <f aca="false">IF($B19="","",ROUND($L19*Inputs!$B$14,Inputs!$B$19))</f>
        <v/>
      </c>
      <c r="N19" s="25" t="str">
        <f aca="false">IF($B19="","",$F19*$G19)</f>
        <v/>
      </c>
      <c r="O19" s="25" t="str">
        <f aca="false">IF($B19="","",$F19*$M19)</f>
        <v/>
      </c>
      <c r="P19" s="25" t="str">
        <f aca="false">IF($B19="","",$O19*12)</f>
        <v/>
      </c>
    </row>
    <row r="20" customFormat="false" ht="15" hidden="false" customHeight="false" outlineLevel="0" collapsed="false">
      <c r="A20" s="19" t="n">
        <v>13</v>
      </c>
      <c r="B20" s="20"/>
      <c r="C20" s="19" t="str">
        <f aca="false">IF($B20="","",INDEX(Pricelist!$D$5:$D$123,MATCH($B20,Pricelist!$E$5:$E$123,0)))</f>
        <v/>
      </c>
      <c r="D20" s="19" t="str">
        <f aca="false">IF($B20="","",INDEX(Pricelist!$B$5:$B$123,MATCH($B20,Pricelist!$E$5:$E$123,0)))</f>
        <v/>
      </c>
      <c r="E20" s="19" t="str">
        <f aca="false">IF($B20="","",INDEX(Pricelist!$C$5:$C$123,MATCH($B20,Pricelist!$E$5:$E$123,0)))</f>
        <v/>
      </c>
      <c r="F20" s="21"/>
      <c r="G20" s="22" t="str">
        <f aca="false">IF($B20="","",INDEX(Pricelist!$O$5:$O$123,MATCH($B20,Pricelist!$E$5:$E$123,0)))</f>
        <v/>
      </c>
      <c r="H20" s="19" t="str">
        <f aca="false">IF($B20="","",INDEX(Pricelist!$F$5:$F$123,MATCH($B20,Pricelist!$E$5:$E$123,0)))</f>
        <v/>
      </c>
      <c r="I20" s="23" t="str">
        <f aca="false">IF($B20="","",INDEX(Inputs!$B$24:$B$30,MATCH($H20,Inputs!$A$24:$A$30,0)))</f>
        <v/>
      </c>
      <c r="J20" s="24"/>
      <c r="K20" s="23" t="str">
        <f aca="false">IF($B20="","",IF($J20="",$I20,$J20))</f>
        <v/>
      </c>
      <c r="L20" s="22" t="str">
        <f aca="false">IF($B20="","",IF($K20&gt;=1,"margin must be below 100%",$G20/(1-$K20)))</f>
        <v/>
      </c>
      <c r="M20" s="22" t="str">
        <f aca="false">IF($B20="","",ROUND($L20*Inputs!$B$14,Inputs!$B$19))</f>
        <v/>
      </c>
      <c r="N20" s="25" t="str">
        <f aca="false">IF($B20="","",$F20*$G20)</f>
        <v/>
      </c>
      <c r="O20" s="25" t="str">
        <f aca="false">IF($B20="","",$F20*$M20)</f>
        <v/>
      </c>
      <c r="P20" s="25" t="str">
        <f aca="false">IF($B20="","",$O20*12)</f>
        <v/>
      </c>
    </row>
    <row r="21" customFormat="false" ht="15" hidden="false" customHeight="false" outlineLevel="0" collapsed="false">
      <c r="A21" s="19" t="n">
        <v>14</v>
      </c>
      <c r="B21" s="20"/>
      <c r="C21" s="19" t="str">
        <f aca="false">IF($B21="","",INDEX(Pricelist!$D$5:$D$123,MATCH($B21,Pricelist!$E$5:$E$123,0)))</f>
        <v/>
      </c>
      <c r="D21" s="19" t="str">
        <f aca="false">IF($B21="","",INDEX(Pricelist!$B$5:$B$123,MATCH($B21,Pricelist!$E$5:$E$123,0)))</f>
        <v/>
      </c>
      <c r="E21" s="19" t="str">
        <f aca="false">IF($B21="","",INDEX(Pricelist!$C$5:$C$123,MATCH($B21,Pricelist!$E$5:$E$123,0)))</f>
        <v/>
      </c>
      <c r="F21" s="21"/>
      <c r="G21" s="22" t="str">
        <f aca="false">IF($B21="","",INDEX(Pricelist!$O$5:$O$123,MATCH($B21,Pricelist!$E$5:$E$123,0)))</f>
        <v/>
      </c>
      <c r="H21" s="19" t="str">
        <f aca="false">IF($B21="","",INDEX(Pricelist!$F$5:$F$123,MATCH($B21,Pricelist!$E$5:$E$123,0)))</f>
        <v/>
      </c>
      <c r="I21" s="23" t="str">
        <f aca="false">IF($B21="","",INDEX(Inputs!$B$24:$B$30,MATCH($H21,Inputs!$A$24:$A$30,0)))</f>
        <v/>
      </c>
      <c r="J21" s="24"/>
      <c r="K21" s="23" t="str">
        <f aca="false">IF($B21="","",IF($J21="",$I21,$J21))</f>
        <v/>
      </c>
      <c r="L21" s="22" t="str">
        <f aca="false">IF($B21="","",IF($K21&gt;=1,"margin must be below 100%",$G21/(1-$K21)))</f>
        <v/>
      </c>
      <c r="M21" s="22" t="str">
        <f aca="false">IF($B21="","",ROUND($L21*Inputs!$B$14,Inputs!$B$19))</f>
        <v/>
      </c>
      <c r="N21" s="25" t="str">
        <f aca="false">IF($B21="","",$F21*$G21)</f>
        <v/>
      </c>
      <c r="O21" s="25" t="str">
        <f aca="false">IF($B21="","",$F21*$M21)</f>
        <v/>
      </c>
      <c r="P21" s="25" t="str">
        <f aca="false">IF($B21="","",$O21*12)</f>
        <v/>
      </c>
    </row>
    <row r="22" customFormat="false" ht="15" hidden="false" customHeight="false" outlineLevel="0" collapsed="false">
      <c r="A22" s="19" t="n">
        <v>15</v>
      </c>
      <c r="B22" s="20"/>
      <c r="C22" s="19" t="str">
        <f aca="false">IF($B22="","",INDEX(Pricelist!$D$5:$D$123,MATCH($B22,Pricelist!$E$5:$E$123,0)))</f>
        <v/>
      </c>
      <c r="D22" s="19" t="str">
        <f aca="false">IF($B22="","",INDEX(Pricelist!$B$5:$B$123,MATCH($B22,Pricelist!$E$5:$E$123,0)))</f>
        <v/>
      </c>
      <c r="E22" s="19" t="str">
        <f aca="false">IF($B22="","",INDEX(Pricelist!$C$5:$C$123,MATCH($B22,Pricelist!$E$5:$E$123,0)))</f>
        <v/>
      </c>
      <c r="F22" s="21"/>
      <c r="G22" s="22" t="str">
        <f aca="false">IF($B22="","",INDEX(Pricelist!$O$5:$O$123,MATCH($B22,Pricelist!$E$5:$E$123,0)))</f>
        <v/>
      </c>
      <c r="H22" s="19" t="str">
        <f aca="false">IF($B22="","",INDEX(Pricelist!$F$5:$F$123,MATCH($B22,Pricelist!$E$5:$E$123,0)))</f>
        <v/>
      </c>
      <c r="I22" s="23" t="str">
        <f aca="false">IF($B22="","",INDEX(Inputs!$B$24:$B$30,MATCH($H22,Inputs!$A$24:$A$30,0)))</f>
        <v/>
      </c>
      <c r="J22" s="24"/>
      <c r="K22" s="23" t="str">
        <f aca="false">IF($B22="","",IF($J22="",$I22,$J22))</f>
        <v/>
      </c>
      <c r="L22" s="22" t="str">
        <f aca="false">IF($B22="","",IF($K22&gt;=1,"margin must be below 100%",$G22/(1-$K22)))</f>
        <v/>
      </c>
      <c r="M22" s="22" t="str">
        <f aca="false">IF($B22="","",ROUND($L22*Inputs!$B$14,Inputs!$B$19))</f>
        <v/>
      </c>
      <c r="N22" s="25" t="str">
        <f aca="false">IF($B22="","",$F22*$G22)</f>
        <v/>
      </c>
      <c r="O22" s="25" t="str">
        <f aca="false">IF($B22="","",$F22*$M22)</f>
        <v/>
      </c>
      <c r="P22" s="25" t="str">
        <f aca="false">IF($B22="","",$O22*12)</f>
        <v/>
      </c>
    </row>
    <row r="23" customFormat="false" ht="15" hidden="false" customHeight="false" outlineLevel="0" collapsed="false">
      <c r="A23" s="19" t="n">
        <v>16</v>
      </c>
      <c r="B23" s="20"/>
      <c r="C23" s="19" t="str">
        <f aca="false">IF($B23="","",INDEX(Pricelist!$D$5:$D$123,MATCH($B23,Pricelist!$E$5:$E$123,0)))</f>
        <v/>
      </c>
      <c r="D23" s="19" t="str">
        <f aca="false">IF($B23="","",INDEX(Pricelist!$B$5:$B$123,MATCH($B23,Pricelist!$E$5:$E$123,0)))</f>
        <v/>
      </c>
      <c r="E23" s="19" t="str">
        <f aca="false">IF($B23="","",INDEX(Pricelist!$C$5:$C$123,MATCH($B23,Pricelist!$E$5:$E$123,0)))</f>
        <v/>
      </c>
      <c r="F23" s="21"/>
      <c r="G23" s="22" t="str">
        <f aca="false">IF($B23="","",INDEX(Pricelist!$O$5:$O$123,MATCH($B23,Pricelist!$E$5:$E$123,0)))</f>
        <v/>
      </c>
      <c r="H23" s="19" t="str">
        <f aca="false">IF($B23="","",INDEX(Pricelist!$F$5:$F$123,MATCH($B23,Pricelist!$E$5:$E$123,0)))</f>
        <v/>
      </c>
      <c r="I23" s="23" t="str">
        <f aca="false">IF($B23="","",INDEX(Inputs!$B$24:$B$30,MATCH($H23,Inputs!$A$24:$A$30,0)))</f>
        <v/>
      </c>
      <c r="J23" s="24"/>
      <c r="K23" s="23" t="str">
        <f aca="false">IF($B23="","",IF($J23="",$I23,$J23))</f>
        <v/>
      </c>
      <c r="L23" s="22" t="str">
        <f aca="false">IF($B23="","",IF($K23&gt;=1,"margin must be below 100%",$G23/(1-$K23)))</f>
        <v/>
      </c>
      <c r="M23" s="22" t="str">
        <f aca="false">IF($B23="","",ROUND($L23*Inputs!$B$14,Inputs!$B$19))</f>
        <v/>
      </c>
      <c r="N23" s="25" t="str">
        <f aca="false">IF($B23="","",$F23*$G23)</f>
        <v/>
      </c>
      <c r="O23" s="25" t="str">
        <f aca="false">IF($B23="","",$F23*$M23)</f>
        <v/>
      </c>
      <c r="P23" s="25" t="str">
        <f aca="false">IF($B23="","",$O23*12)</f>
        <v/>
      </c>
    </row>
    <row r="24" customFormat="false" ht="15" hidden="false" customHeight="false" outlineLevel="0" collapsed="false">
      <c r="A24" s="19" t="n">
        <v>17</v>
      </c>
      <c r="B24" s="20"/>
      <c r="C24" s="19" t="str">
        <f aca="false">IF($B24="","",INDEX(Pricelist!$D$5:$D$123,MATCH($B24,Pricelist!$E$5:$E$123,0)))</f>
        <v/>
      </c>
      <c r="D24" s="19" t="str">
        <f aca="false">IF($B24="","",INDEX(Pricelist!$B$5:$B$123,MATCH($B24,Pricelist!$E$5:$E$123,0)))</f>
        <v/>
      </c>
      <c r="E24" s="19" t="str">
        <f aca="false">IF($B24="","",INDEX(Pricelist!$C$5:$C$123,MATCH($B24,Pricelist!$E$5:$E$123,0)))</f>
        <v/>
      </c>
      <c r="F24" s="21"/>
      <c r="G24" s="22" t="str">
        <f aca="false">IF($B24="","",INDEX(Pricelist!$O$5:$O$123,MATCH($B24,Pricelist!$E$5:$E$123,0)))</f>
        <v/>
      </c>
      <c r="H24" s="19" t="str">
        <f aca="false">IF($B24="","",INDEX(Pricelist!$F$5:$F$123,MATCH($B24,Pricelist!$E$5:$E$123,0)))</f>
        <v/>
      </c>
      <c r="I24" s="23" t="str">
        <f aca="false">IF($B24="","",INDEX(Inputs!$B$24:$B$30,MATCH($H24,Inputs!$A$24:$A$30,0)))</f>
        <v/>
      </c>
      <c r="J24" s="24"/>
      <c r="K24" s="23" t="str">
        <f aca="false">IF($B24="","",IF($J24="",$I24,$J24))</f>
        <v/>
      </c>
      <c r="L24" s="22" t="str">
        <f aca="false">IF($B24="","",IF($K24&gt;=1,"margin must be below 100%",$G24/(1-$K24)))</f>
        <v/>
      </c>
      <c r="M24" s="22" t="str">
        <f aca="false">IF($B24="","",ROUND($L24*Inputs!$B$14,Inputs!$B$19))</f>
        <v/>
      </c>
      <c r="N24" s="25" t="str">
        <f aca="false">IF($B24="","",$F24*$G24)</f>
        <v/>
      </c>
      <c r="O24" s="25" t="str">
        <f aca="false">IF($B24="","",$F24*$M24)</f>
        <v/>
      </c>
      <c r="P24" s="25" t="str">
        <f aca="false">IF($B24="","",$O24*12)</f>
        <v/>
      </c>
    </row>
    <row r="25" customFormat="false" ht="15" hidden="false" customHeight="false" outlineLevel="0" collapsed="false">
      <c r="A25" s="19" t="n">
        <v>18</v>
      </c>
      <c r="B25" s="20"/>
      <c r="C25" s="19" t="str">
        <f aca="false">IF($B25="","",INDEX(Pricelist!$D$5:$D$123,MATCH($B25,Pricelist!$E$5:$E$123,0)))</f>
        <v/>
      </c>
      <c r="D25" s="19" t="str">
        <f aca="false">IF($B25="","",INDEX(Pricelist!$B$5:$B$123,MATCH($B25,Pricelist!$E$5:$E$123,0)))</f>
        <v/>
      </c>
      <c r="E25" s="19" t="str">
        <f aca="false">IF($B25="","",INDEX(Pricelist!$C$5:$C$123,MATCH($B25,Pricelist!$E$5:$E$123,0)))</f>
        <v/>
      </c>
      <c r="F25" s="21"/>
      <c r="G25" s="22" t="str">
        <f aca="false">IF($B25="","",INDEX(Pricelist!$O$5:$O$123,MATCH($B25,Pricelist!$E$5:$E$123,0)))</f>
        <v/>
      </c>
      <c r="H25" s="19" t="str">
        <f aca="false">IF($B25="","",INDEX(Pricelist!$F$5:$F$123,MATCH($B25,Pricelist!$E$5:$E$123,0)))</f>
        <v/>
      </c>
      <c r="I25" s="23" t="str">
        <f aca="false">IF($B25="","",INDEX(Inputs!$B$24:$B$30,MATCH($H25,Inputs!$A$24:$A$30,0)))</f>
        <v/>
      </c>
      <c r="J25" s="24"/>
      <c r="K25" s="23" t="str">
        <f aca="false">IF($B25="","",IF($J25="",$I25,$J25))</f>
        <v/>
      </c>
      <c r="L25" s="22" t="str">
        <f aca="false">IF($B25="","",IF($K25&gt;=1,"margin must be below 100%",$G25/(1-$K25)))</f>
        <v/>
      </c>
      <c r="M25" s="22" t="str">
        <f aca="false">IF($B25="","",ROUND($L25*Inputs!$B$14,Inputs!$B$19))</f>
        <v/>
      </c>
      <c r="N25" s="25" t="str">
        <f aca="false">IF($B25="","",$F25*$G25)</f>
        <v/>
      </c>
      <c r="O25" s="25" t="str">
        <f aca="false">IF($B25="","",$F25*$M25)</f>
        <v/>
      </c>
      <c r="P25" s="25" t="str">
        <f aca="false">IF($B25="","",$O25*12)</f>
        <v/>
      </c>
    </row>
    <row r="26" customFormat="false" ht="15" hidden="false" customHeight="false" outlineLevel="0" collapsed="false">
      <c r="A26" s="19" t="n">
        <v>19</v>
      </c>
      <c r="B26" s="20"/>
      <c r="C26" s="19" t="str">
        <f aca="false">IF($B26="","",INDEX(Pricelist!$D$5:$D$123,MATCH($B26,Pricelist!$E$5:$E$123,0)))</f>
        <v/>
      </c>
      <c r="D26" s="19" t="str">
        <f aca="false">IF($B26="","",INDEX(Pricelist!$B$5:$B$123,MATCH($B26,Pricelist!$E$5:$E$123,0)))</f>
        <v/>
      </c>
      <c r="E26" s="19" t="str">
        <f aca="false">IF($B26="","",INDEX(Pricelist!$C$5:$C$123,MATCH($B26,Pricelist!$E$5:$E$123,0)))</f>
        <v/>
      </c>
      <c r="F26" s="21"/>
      <c r="G26" s="22" t="str">
        <f aca="false">IF($B26="","",INDEX(Pricelist!$O$5:$O$123,MATCH($B26,Pricelist!$E$5:$E$123,0)))</f>
        <v/>
      </c>
      <c r="H26" s="19" t="str">
        <f aca="false">IF($B26="","",INDEX(Pricelist!$F$5:$F$123,MATCH($B26,Pricelist!$E$5:$E$123,0)))</f>
        <v/>
      </c>
      <c r="I26" s="23" t="str">
        <f aca="false">IF($B26="","",INDEX(Inputs!$B$24:$B$30,MATCH($H26,Inputs!$A$24:$A$30,0)))</f>
        <v/>
      </c>
      <c r="J26" s="24"/>
      <c r="K26" s="23" t="str">
        <f aca="false">IF($B26="","",IF($J26="",$I26,$J26))</f>
        <v/>
      </c>
      <c r="L26" s="22" t="str">
        <f aca="false">IF($B26="","",IF($K26&gt;=1,"margin must be below 100%",$G26/(1-$K26)))</f>
        <v/>
      </c>
      <c r="M26" s="22" t="str">
        <f aca="false">IF($B26="","",ROUND($L26*Inputs!$B$14,Inputs!$B$19))</f>
        <v/>
      </c>
      <c r="N26" s="25" t="str">
        <f aca="false">IF($B26="","",$F26*$G26)</f>
        <v/>
      </c>
      <c r="O26" s="25" t="str">
        <f aca="false">IF($B26="","",$F26*$M26)</f>
        <v/>
      </c>
      <c r="P26" s="25" t="str">
        <f aca="false">IF($B26="","",$O26*12)</f>
        <v/>
      </c>
    </row>
    <row r="27" customFormat="false" ht="15" hidden="false" customHeight="false" outlineLevel="0" collapsed="false">
      <c r="A27" s="19" t="n">
        <v>20</v>
      </c>
      <c r="B27" s="20"/>
      <c r="C27" s="19" t="str">
        <f aca="false">IF($B27="","",INDEX(Pricelist!$D$5:$D$123,MATCH($B27,Pricelist!$E$5:$E$123,0)))</f>
        <v/>
      </c>
      <c r="D27" s="19" t="str">
        <f aca="false">IF($B27="","",INDEX(Pricelist!$B$5:$B$123,MATCH($B27,Pricelist!$E$5:$E$123,0)))</f>
        <v/>
      </c>
      <c r="E27" s="19" t="str">
        <f aca="false">IF($B27="","",INDEX(Pricelist!$C$5:$C$123,MATCH($B27,Pricelist!$E$5:$E$123,0)))</f>
        <v/>
      </c>
      <c r="F27" s="21"/>
      <c r="G27" s="22" t="str">
        <f aca="false">IF($B27="","",INDEX(Pricelist!$O$5:$O$123,MATCH($B27,Pricelist!$E$5:$E$123,0)))</f>
        <v/>
      </c>
      <c r="H27" s="19" t="str">
        <f aca="false">IF($B27="","",INDEX(Pricelist!$F$5:$F$123,MATCH($B27,Pricelist!$E$5:$E$123,0)))</f>
        <v/>
      </c>
      <c r="I27" s="23" t="str">
        <f aca="false">IF($B27="","",INDEX(Inputs!$B$24:$B$30,MATCH($H27,Inputs!$A$24:$A$30,0)))</f>
        <v/>
      </c>
      <c r="J27" s="24"/>
      <c r="K27" s="23" t="str">
        <f aca="false">IF($B27="","",IF($J27="",$I27,$J27))</f>
        <v/>
      </c>
      <c r="L27" s="22" t="str">
        <f aca="false">IF($B27="","",IF($K27&gt;=1,"margin must be below 100%",$G27/(1-$K27)))</f>
        <v/>
      </c>
      <c r="M27" s="22" t="str">
        <f aca="false">IF($B27="","",ROUND($L27*Inputs!$B$14,Inputs!$B$19))</f>
        <v/>
      </c>
      <c r="N27" s="25" t="str">
        <f aca="false">IF($B27="","",$F27*$G27)</f>
        <v/>
      </c>
      <c r="O27" s="25" t="str">
        <f aca="false">IF($B27="","",$F27*$M27)</f>
        <v/>
      </c>
      <c r="P27" s="25" t="str">
        <f aca="false">IF($B27="","",$O27*12)</f>
        <v/>
      </c>
    </row>
    <row r="28" customFormat="false" ht="15" hidden="false" customHeight="false" outlineLevel="0" collapsed="false">
      <c r="A28" s="19" t="n">
        <v>21</v>
      </c>
      <c r="B28" s="20"/>
      <c r="C28" s="19" t="str">
        <f aca="false">IF($B28="","",INDEX(Pricelist!$D$5:$D$123,MATCH($B28,Pricelist!$E$5:$E$123,0)))</f>
        <v/>
      </c>
      <c r="D28" s="19" t="str">
        <f aca="false">IF($B28="","",INDEX(Pricelist!$B$5:$B$123,MATCH($B28,Pricelist!$E$5:$E$123,0)))</f>
        <v/>
      </c>
      <c r="E28" s="19" t="str">
        <f aca="false">IF($B28="","",INDEX(Pricelist!$C$5:$C$123,MATCH($B28,Pricelist!$E$5:$E$123,0)))</f>
        <v/>
      </c>
      <c r="F28" s="21"/>
      <c r="G28" s="22" t="str">
        <f aca="false">IF($B28="","",INDEX(Pricelist!$O$5:$O$123,MATCH($B28,Pricelist!$E$5:$E$123,0)))</f>
        <v/>
      </c>
      <c r="H28" s="19" t="str">
        <f aca="false">IF($B28="","",INDEX(Pricelist!$F$5:$F$123,MATCH($B28,Pricelist!$E$5:$E$123,0)))</f>
        <v/>
      </c>
      <c r="I28" s="23" t="str">
        <f aca="false">IF($B28="","",INDEX(Inputs!$B$24:$B$30,MATCH($H28,Inputs!$A$24:$A$30,0)))</f>
        <v/>
      </c>
      <c r="J28" s="24"/>
      <c r="K28" s="23" t="str">
        <f aca="false">IF($B28="","",IF($J28="",$I28,$J28))</f>
        <v/>
      </c>
      <c r="L28" s="22" t="str">
        <f aca="false">IF($B28="","",IF($K28&gt;=1,"margin must be below 100%",$G28/(1-$K28)))</f>
        <v/>
      </c>
      <c r="M28" s="22" t="str">
        <f aca="false">IF($B28="","",ROUND($L28*Inputs!$B$14,Inputs!$B$19))</f>
        <v/>
      </c>
      <c r="N28" s="25" t="str">
        <f aca="false">IF($B28="","",$F28*$G28)</f>
        <v/>
      </c>
      <c r="O28" s="25" t="str">
        <f aca="false">IF($B28="","",$F28*$M28)</f>
        <v/>
      </c>
      <c r="P28" s="25" t="str">
        <f aca="false">IF($B28="","",$O28*12)</f>
        <v/>
      </c>
    </row>
    <row r="29" customFormat="false" ht="15" hidden="false" customHeight="false" outlineLevel="0" collapsed="false">
      <c r="A29" s="19" t="n">
        <v>22</v>
      </c>
      <c r="B29" s="20"/>
      <c r="C29" s="19" t="str">
        <f aca="false">IF($B29="","",INDEX(Pricelist!$D$5:$D$123,MATCH($B29,Pricelist!$E$5:$E$123,0)))</f>
        <v/>
      </c>
      <c r="D29" s="19" t="str">
        <f aca="false">IF($B29="","",INDEX(Pricelist!$B$5:$B$123,MATCH($B29,Pricelist!$E$5:$E$123,0)))</f>
        <v/>
      </c>
      <c r="E29" s="19" t="str">
        <f aca="false">IF($B29="","",INDEX(Pricelist!$C$5:$C$123,MATCH($B29,Pricelist!$E$5:$E$123,0)))</f>
        <v/>
      </c>
      <c r="F29" s="21"/>
      <c r="G29" s="22" t="str">
        <f aca="false">IF($B29="","",INDEX(Pricelist!$O$5:$O$123,MATCH($B29,Pricelist!$E$5:$E$123,0)))</f>
        <v/>
      </c>
      <c r="H29" s="19" t="str">
        <f aca="false">IF($B29="","",INDEX(Pricelist!$F$5:$F$123,MATCH($B29,Pricelist!$E$5:$E$123,0)))</f>
        <v/>
      </c>
      <c r="I29" s="23" t="str">
        <f aca="false">IF($B29="","",INDEX(Inputs!$B$24:$B$30,MATCH($H29,Inputs!$A$24:$A$30,0)))</f>
        <v/>
      </c>
      <c r="J29" s="24"/>
      <c r="K29" s="23" t="str">
        <f aca="false">IF($B29="","",IF($J29="",$I29,$J29))</f>
        <v/>
      </c>
      <c r="L29" s="22" t="str">
        <f aca="false">IF($B29="","",IF($K29&gt;=1,"margin must be below 100%",$G29/(1-$K29)))</f>
        <v/>
      </c>
      <c r="M29" s="22" t="str">
        <f aca="false">IF($B29="","",ROUND($L29*Inputs!$B$14,Inputs!$B$19))</f>
        <v/>
      </c>
      <c r="N29" s="25" t="str">
        <f aca="false">IF($B29="","",$F29*$G29)</f>
        <v/>
      </c>
      <c r="O29" s="25" t="str">
        <f aca="false">IF($B29="","",$F29*$M29)</f>
        <v/>
      </c>
      <c r="P29" s="25" t="str">
        <f aca="false">IF($B29="","",$O29*12)</f>
        <v/>
      </c>
    </row>
    <row r="30" customFormat="false" ht="15" hidden="false" customHeight="false" outlineLevel="0" collapsed="false">
      <c r="A30" s="19" t="n">
        <v>23</v>
      </c>
      <c r="B30" s="20"/>
      <c r="C30" s="19" t="str">
        <f aca="false">IF($B30="","",INDEX(Pricelist!$D$5:$D$123,MATCH($B30,Pricelist!$E$5:$E$123,0)))</f>
        <v/>
      </c>
      <c r="D30" s="19" t="str">
        <f aca="false">IF($B30="","",INDEX(Pricelist!$B$5:$B$123,MATCH($B30,Pricelist!$E$5:$E$123,0)))</f>
        <v/>
      </c>
      <c r="E30" s="19" t="str">
        <f aca="false">IF($B30="","",INDEX(Pricelist!$C$5:$C$123,MATCH($B30,Pricelist!$E$5:$E$123,0)))</f>
        <v/>
      </c>
      <c r="F30" s="21"/>
      <c r="G30" s="22" t="str">
        <f aca="false">IF($B30="","",INDEX(Pricelist!$O$5:$O$123,MATCH($B30,Pricelist!$E$5:$E$123,0)))</f>
        <v/>
      </c>
      <c r="H30" s="19" t="str">
        <f aca="false">IF($B30="","",INDEX(Pricelist!$F$5:$F$123,MATCH($B30,Pricelist!$E$5:$E$123,0)))</f>
        <v/>
      </c>
      <c r="I30" s="23" t="str">
        <f aca="false">IF($B30="","",INDEX(Inputs!$B$24:$B$30,MATCH($H30,Inputs!$A$24:$A$30,0)))</f>
        <v/>
      </c>
      <c r="J30" s="24"/>
      <c r="K30" s="23" t="str">
        <f aca="false">IF($B30="","",IF($J30="",$I30,$J30))</f>
        <v/>
      </c>
      <c r="L30" s="22" t="str">
        <f aca="false">IF($B30="","",IF($K30&gt;=1,"margin must be below 100%",$G30/(1-$K30)))</f>
        <v/>
      </c>
      <c r="M30" s="22" t="str">
        <f aca="false">IF($B30="","",ROUND($L30*Inputs!$B$14,Inputs!$B$19))</f>
        <v/>
      </c>
      <c r="N30" s="25" t="str">
        <f aca="false">IF($B30="","",$F30*$G30)</f>
        <v/>
      </c>
      <c r="O30" s="25" t="str">
        <f aca="false">IF($B30="","",$F30*$M30)</f>
        <v/>
      </c>
      <c r="P30" s="25" t="str">
        <f aca="false">IF($B30="","",$O30*12)</f>
        <v/>
      </c>
    </row>
    <row r="31" customFormat="false" ht="15" hidden="false" customHeight="false" outlineLevel="0" collapsed="false">
      <c r="A31" s="19" t="n">
        <v>24</v>
      </c>
      <c r="B31" s="20"/>
      <c r="C31" s="19" t="str">
        <f aca="false">IF($B31="","",INDEX(Pricelist!$D$5:$D$123,MATCH($B31,Pricelist!$E$5:$E$123,0)))</f>
        <v/>
      </c>
      <c r="D31" s="19" t="str">
        <f aca="false">IF($B31="","",INDEX(Pricelist!$B$5:$B$123,MATCH($B31,Pricelist!$E$5:$E$123,0)))</f>
        <v/>
      </c>
      <c r="E31" s="19" t="str">
        <f aca="false">IF($B31="","",INDEX(Pricelist!$C$5:$C$123,MATCH($B31,Pricelist!$E$5:$E$123,0)))</f>
        <v/>
      </c>
      <c r="F31" s="21"/>
      <c r="G31" s="22" t="str">
        <f aca="false">IF($B31="","",INDEX(Pricelist!$O$5:$O$123,MATCH($B31,Pricelist!$E$5:$E$123,0)))</f>
        <v/>
      </c>
      <c r="H31" s="19" t="str">
        <f aca="false">IF($B31="","",INDEX(Pricelist!$F$5:$F$123,MATCH($B31,Pricelist!$E$5:$E$123,0)))</f>
        <v/>
      </c>
      <c r="I31" s="23" t="str">
        <f aca="false">IF($B31="","",INDEX(Inputs!$B$24:$B$30,MATCH($H31,Inputs!$A$24:$A$30,0)))</f>
        <v/>
      </c>
      <c r="J31" s="24"/>
      <c r="K31" s="23" t="str">
        <f aca="false">IF($B31="","",IF($J31="",$I31,$J31))</f>
        <v/>
      </c>
      <c r="L31" s="22" t="str">
        <f aca="false">IF($B31="","",IF($K31&gt;=1,"margin must be below 100%",$G31/(1-$K31)))</f>
        <v/>
      </c>
      <c r="M31" s="22" t="str">
        <f aca="false">IF($B31="","",ROUND($L31*Inputs!$B$14,Inputs!$B$19))</f>
        <v/>
      </c>
      <c r="N31" s="25" t="str">
        <f aca="false">IF($B31="","",$F31*$G31)</f>
        <v/>
      </c>
      <c r="O31" s="25" t="str">
        <f aca="false">IF($B31="","",$F31*$M31)</f>
        <v/>
      </c>
      <c r="P31" s="25" t="str">
        <f aca="false">IF($B31="","",$O31*12)</f>
        <v/>
      </c>
    </row>
    <row r="32" customFormat="false" ht="15" hidden="false" customHeight="false" outlineLevel="0" collapsed="false">
      <c r="A32" s="19" t="n">
        <v>25</v>
      </c>
      <c r="B32" s="20"/>
      <c r="C32" s="19" t="str">
        <f aca="false">IF($B32="","",INDEX(Pricelist!$D$5:$D$123,MATCH($B32,Pricelist!$E$5:$E$123,0)))</f>
        <v/>
      </c>
      <c r="D32" s="19" t="str">
        <f aca="false">IF($B32="","",INDEX(Pricelist!$B$5:$B$123,MATCH($B32,Pricelist!$E$5:$E$123,0)))</f>
        <v/>
      </c>
      <c r="E32" s="19" t="str">
        <f aca="false">IF($B32="","",INDEX(Pricelist!$C$5:$C$123,MATCH($B32,Pricelist!$E$5:$E$123,0)))</f>
        <v/>
      </c>
      <c r="F32" s="21"/>
      <c r="G32" s="22" t="str">
        <f aca="false">IF($B32="","",INDEX(Pricelist!$O$5:$O$123,MATCH($B32,Pricelist!$E$5:$E$123,0)))</f>
        <v/>
      </c>
      <c r="H32" s="19" t="str">
        <f aca="false">IF($B32="","",INDEX(Pricelist!$F$5:$F$123,MATCH($B32,Pricelist!$E$5:$E$123,0)))</f>
        <v/>
      </c>
      <c r="I32" s="23" t="str">
        <f aca="false">IF($B32="","",INDEX(Inputs!$B$24:$B$30,MATCH($H32,Inputs!$A$24:$A$30,0)))</f>
        <v/>
      </c>
      <c r="J32" s="24"/>
      <c r="K32" s="23" t="str">
        <f aca="false">IF($B32="","",IF($J32="",$I32,$J32))</f>
        <v/>
      </c>
      <c r="L32" s="22" t="str">
        <f aca="false">IF($B32="","",IF($K32&gt;=1,"margin must be below 100%",$G32/(1-$K32)))</f>
        <v/>
      </c>
      <c r="M32" s="22" t="str">
        <f aca="false">IF($B32="","",ROUND($L32*Inputs!$B$14,Inputs!$B$19))</f>
        <v/>
      </c>
      <c r="N32" s="25" t="str">
        <f aca="false">IF($B32="","",$F32*$G32)</f>
        <v/>
      </c>
      <c r="O32" s="25" t="str">
        <f aca="false">IF($B32="","",$F32*$M32)</f>
        <v/>
      </c>
      <c r="P32" s="25" t="str">
        <f aca="false">IF($B32="","",$O32*12)</f>
        <v/>
      </c>
    </row>
    <row r="33" customFormat="false" ht="15" hidden="false" customHeight="false" outlineLevel="0" collapsed="false">
      <c r="A33" s="19" t="n">
        <v>26</v>
      </c>
      <c r="B33" s="20"/>
      <c r="C33" s="19" t="str">
        <f aca="false">IF($B33="","",INDEX(Pricelist!$D$5:$D$123,MATCH($B33,Pricelist!$E$5:$E$123,0)))</f>
        <v/>
      </c>
      <c r="D33" s="19" t="str">
        <f aca="false">IF($B33="","",INDEX(Pricelist!$B$5:$B$123,MATCH($B33,Pricelist!$E$5:$E$123,0)))</f>
        <v/>
      </c>
      <c r="E33" s="19" t="str">
        <f aca="false">IF($B33="","",INDEX(Pricelist!$C$5:$C$123,MATCH($B33,Pricelist!$E$5:$E$123,0)))</f>
        <v/>
      </c>
      <c r="F33" s="21"/>
      <c r="G33" s="22" t="str">
        <f aca="false">IF($B33="","",INDEX(Pricelist!$O$5:$O$123,MATCH($B33,Pricelist!$E$5:$E$123,0)))</f>
        <v/>
      </c>
      <c r="H33" s="19" t="str">
        <f aca="false">IF($B33="","",INDEX(Pricelist!$F$5:$F$123,MATCH($B33,Pricelist!$E$5:$E$123,0)))</f>
        <v/>
      </c>
      <c r="I33" s="23" t="str">
        <f aca="false">IF($B33="","",INDEX(Inputs!$B$24:$B$30,MATCH($H33,Inputs!$A$24:$A$30,0)))</f>
        <v/>
      </c>
      <c r="J33" s="24"/>
      <c r="K33" s="23" t="str">
        <f aca="false">IF($B33="","",IF($J33="",$I33,$J33))</f>
        <v/>
      </c>
      <c r="L33" s="22" t="str">
        <f aca="false">IF($B33="","",IF($K33&gt;=1,"margin must be below 100%",$G33/(1-$K33)))</f>
        <v/>
      </c>
      <c r="M33" s="22" t="str">
        <f aca="false">IF($B33="","",ROUND($L33*Inputs!$B$14,Inputs!$B$19))</f>
        <v/>
      </c>
      <c r="N33" s="25" t="str">
        <f aca="false">IF($B33="","",$F33*$G33)</f>
        <v/>
      </c>
      <c r="O33" s="25" t="str">
        <f aca="false">IF($B33="","",$F33*$M33)</f>
        <v/>
      </c>
      <c r="P33" s="25" t="str">
        <f aca="false">IF($B33="","",$O33*12)</f>
        <v/>
      </c>
    </row>
    <row r="34" customFormat="false" ht="15" hidden="false" customHeight="false" outlineLevel="0" collapsed="false">
      <c r="A34" s="19" t="n">
        <v>27</v>
      </c>
      <c r="B34" s="20"/>
      <c r="C34" s="19" t="str">
        <f aca="false">IF($B34="","",INDEX(Pricelist!$D$5:$D$123,MATCH($B34,Pricelist!$E$5:$E$123,0)))</f>
        <v/>
      </c>
      <c r="D34" s="19" t="str">
        <f aca="false">IF($B34="","",INDEX(Pricelist!$B$5:$B$123,MATCH($B34,Pricelist!$E$5:$E$123,0)))</f>
        <v/>
      </c>
      <c r="E34" s="19" t="str">
        <f aca="false">IF($B34="","",INDEX(Pricelist!$C$5:$C$123,MATCH($B34,Pricelist!$E$5:$E$123,0)))</f>
        <v/>
      </c>
      <c r="F34" s="21"/>
      <c r="G34" s="22" t="str">
        <f aca="false">IF($B34="","",INDEX(Pricelist!$O$5:$O$123,MATCH($B34,Pricelist!$E$5:$E$123,0)))</f>
        <v/>
      </c>
      <c r="H34" s="19" t="str">
        <f aca="false">IF($B34="","",INDEX(Pricelist!$F$5:$F$123,MATCH($B34,Pricelist!$E$5:$E$123,0)))</f>
        <v/>
      </c>
      <c r="I34" s="23" t="str">
        <f aca="false">IF($B34="","",INDEX(Inputs!$B$24:$B$30,MATCH($H34,Inputs!$A$24:$A$30,0)))</f>
        <v/>
      </c>
      <c r="J34" s="24"/>
      <c r="K34" s="23" t="str">
        <f aca="false">IF($B34="","",IF($J34="",$I34,$J34))</f>
        <v/>
      </c>
      <c r="L34" s="22" t="str">
        <f aca="false">IF($B34="","",IF($K34&gt;=1,"margin must be below 100%",$G34/(1-$K34)))</f>
        <v/>
      </c>
      <c r="M34" s="22" t="str">
        <f aca="false">IF($B34="","",ROUND($L34*Inputs!$B$14,Inputs!$B$19))</f>
        <v/>
      </c>
      <c r="N34" s="25" t="str">
        <f aca="false">IF($B34="","",$F34*$G34)</f>
        <v/>
      </c>
      <c r="O34" s="25" t="str">
        <f aca="false">IF($B34="","",$F34*$M34)</f>
        <v/>
      </c>
      <c r="P34" s="25" t="str">
        <f aca="false">IF($B34="","",$O34*12)</f>
        <v/>
      </c>
    </row>
    <row r="35" customFormat="false" ht="15" hidden="false" customHeight="false" outlineLevel="0" collapsed="false">
      <c r="A35" s="19" t="n">
        <v>28</v>
      </c>
      <c r="B35" s="20"/>
      <c r="C35" s="19" t="str">
        <f aca="false">IF($B35="","",INDEX(Pricelist!$D$5:$D$123,MATCH($B35,Pricelist!$E$5:$E$123,0)))</f>
        <v/>
      </c>
      <c r="D35" s="19" t="str">
        <f aca="false">IF($B35="","",INDEX(Pricelist!$B$5:$B$123,MATCH($B35,Pricelist!$E$5:$E$123,0)))</f>
        <v/>
      </c>
      <c r="E35" s="19" t="str">
        <f aca="false">IF($B35="","",INDEX(Pricelist!$C$5:$C$123,MATCH($B35,Pricelist!$E$5:$E$123,0)))</f>
        <v/>
      </c>
      <c r="F35" s="21"/>
      <c r="G35" s="22" t="str">
        <f aca="false">IF($B35="","",INDEX(Pricelist!$O$5:$O$123,MATCH($B35,Pricelist!$E$5:$E$123,0)))</f>
        <v/>
      </c>
      <c r="H35" s="19" t="str">
        <f aca="false">IF($B35="","",INDEX(Pricelist!$F$5:$F$123,MATCH($B35,Pricelist!$E$5:$E$123,0)))</f>
        <v/>
      </c>
      <c r="I35" s="23" t="str">
        <f aca="false">IF($B35="","",INDEX(Inputs!$B$24:$B$30,MATCH($H35,Inputs!$A$24:$A$30,0)))</f>
        <v/>
      </c>
      <c r="J35" s="24"/>
      <c r="K35" s="23" t="str">
        <f aca="false">IF($B35="","",IF($J35="",$I35,$J35))</f>
        <v/>
      </c>
      <c r="L35" s="22" t="str">
        <f aca="false">IF($B35="","",IF($K35&gt;=1,"margin must be below 100%",$G35/(1-$K35)))</f>
        <v/>
      </c>
      <c r="M35" s="22" t="str">
        <f aca="false">IF($B35="","",ROUND($L35*Inputs!$B$14,Inputs!$B$19))</f>
        <v/>
      </c>
      <c r="N35" s="25" t="str">
        <f aca="false">IF($B35="","",$F35*$G35)</f>
        <v/>
      </c>
      <c r="O35" s="25" t="str">
        <f aca="false">IF($B35="","",$F35*$M35)</f>
        <v/>
      </c>
      <c r="P35" s="25" t="str">
        <f aca="false">IF($B35="","",$O35*12)</f>
        <v/>
      </c>
    </row>
    <row r="36" customFormat="false" ht="15" hidden="false" customHeight="false" outlineLevel="0" collapsed="false">
      <c r="A36" s="19" t="n">
        <v>29</v>
      </c>
      <c r="B36" s="20"/>
      <c r="C36" s="19" t="str">
        <f aca="false">IF($B36="","",INDEX(Pricelist!$D$5:$D$123,MATCH($B36,Pricelist!$E$5:$E$123,0)))</f>
        <v/>
      </c>
      <c r="D36" s="19" t="str">
        <f aca="false">IF($B36="","",INDEX(Pricelist!$B$5:$B$123,MATCH($B36,Pricelist!$E$5:$E$123,0)))</f>
        <v/>
      </c>
      <c r="E36" s="19" t="str">
        <f aca="false">IF($B36="","",INDEX(Pricelist!$C$5:$C$123,MATCH($B36,Pricelist!$E$5:$E$123,0)))</f>
        <v/>
      </c>
      <c r="F36" s="21"/>
      <c r="G36" s="22" t="str">
        <f aca="false">IF($B36="","",INDEX(Pricelist!$O$5:$O$123,MATCH($B36,Pricelist!$E$5:$E$123,0)))</f>
        <v/>
      </c>
      <c r="H36" s="19" t="str">
        <f aca="false">IF($B36="","",INDEX(Pricelist!$F$5:$F$123,MATCH($B36,Pricelist!$E$5:$E$123,0)))</f>
        <v/>
      </c>
      <c r="I36" s="23" t="str">
        <f aca="false">IF($B36="","",INDEX(Inputs!$B$24:$B$30,MATCH($H36,Inputs!$A$24:$A$30,0)))</f>
        <v/>
      </c>
      <c r="J36" s="24"/>
      <c r="K36" s="23" t="str">
        <f aca="false">IF($B36="","",IF($J36="",$I36,$J36))</f>
        <v/>
      </c>
      <c r="L36" s="22" t="str">
        <f aca="false">IF($B36="","",IF($K36&gt;=1,"margin must be below 100%",$G36/(1-$K36)))</f>
        <v/>
      </c>
      <c r="M36" s="22" t="str">
        <f aca="false">IF($B36="","",ROUND($L36*Inputs!$B$14,Inputs!$B$19))</f>
        <v/>
      </c>
      <c r="N36" s="25" t="str">
        <f aca="false">IF($B36="","",$F36*$G36)</f>
        <v/>
      </c>
      <c r="O36" s="25" t="str">
        <f aca="false">IF($B36="","",$F36*$M36)</f>
        <v/>
      </c>
      <c r="P36" s="25" t="str">
        <f aca="false">IF($B36="","",$O36*12)</f>
        <v/>
      </c>
    </row>
    <row r="37" customFormat="false" ht="15" hidden="false" customHeight="false" outlineLevel="0" collapsed="false">
      <c r="A37" s="19" t="n">
        <v>30</v>
      </c>
      <c r="B37" s="20"/>
      <c r="C37" s="19" t="str">
        <f aca="false">IF($B37="","",INDEX(Pricelist!$D$5:$D$123,MATCH($B37,Pricelist!$E$5:$E$123,0)))</f>
        <v/>
      </c>
      <c r="D37" s="19" t="str">
        <f aca="false">IF($B37="","",INDEX(Pricelist!$B$5:$B$123,MATCH($B37,Pricelist!$E$5:$E$123,0)))</f>
        <v/>
      </c>
      <c r="E37" s="19" t="str">
        <f aca="false">IF($B37="","",INDEX(Pricelist!$C$5:$C$123,MATCH($B37,Pricelist!$E$5:$E$123,0)))</f>
        <v/>
      </c>
      <c r="F37" s="21"/>
      <c r="G37" s="22" t="str">
        <f aca="false">IF($B37="","",INDEX(Pricelist!$O$5:$O$123,MATCH($B37,Pricelist!$E$5:$E$123,0)))</f>
        <v/>
      </c>
      <c r="H37" s="19" t="str">
        <f aca="false">IF($B37="","",INDEX(Pricelist!$F$5:$F$123,MATCH($B37,Pricelist!$E$5:$E$123,0)))</f>
        <v/>
      </c>
      <c r="I37" s="23" t="str">
        <f aca="false">IF($B37="","",INDEX(Inputs!$B$24:$B$30,MATCH($H37,Inputs!$A$24:$A$30,0)))</f>
        <v/>
      </c>
      <c r="J37" s="24"/>
      <c r="K37" s="23" t="str">
        <f aca="false">IF($B37="","",IF($J37="",$I37,$J37))</f>
        <v/>
      </c>
      <c r="L37" s="22" t="str">
        <f aca="false">IF($B37="","",IF($K37&gt;=1,"margin must be below 100%",$G37/(1-$K37)))</f>
        <v/>
      </c>
      <c r="M37" s="22" t="str">
        <f aca="false">IF($B37="","",ROUND($L37*Inputs!$B$14,Inputs!$B$19))</f>
        <v/>
      </c>
      <c r="N37" s="25" t="str">
        <f aca="false">IF($B37="","",$F37*$G37)</f>
        <v/>
      </c>
      <c r="O37" s="25" t="str">
        <f aca="false">IF($B37="","",$F37*$M37)</f>
        <v/>
      </c>
      <c r="P37" s="25" t="str">
        <f aca="false">IF($B37="","",$O37*12)</f>
        <v/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4" t="s">
        <v>349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3" t="s">
        <v>350</v>
      </c>
      <c r="B40" s="26" t="n">
        <f aca="false">SUM(N8:N37)</f>
        <v>788.14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3" t="s">
        <v>351</v>
      </c>
      <c r="B41" s="26" t="n">
        <f aca="false">B40*Inputs!B14</f>
        <v>2955.525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3" t="s">
        <v>352</v>
      </c>
      <c r="B42" s="26" t="n">
        <f aca="false">SUM(O8:O37)</f>
        <v>4546.78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3" t="s">
        <v>353</v>
      </c>
      <c r="B43" s="27" t="n">
        <f aca="false">SUMIFS(F8:F37,H8:H37,"&lt;&gt;Storage",H8:H37,"&lt;&gt;Infrastructure",H8:H37,"&lt;&gt;Other")</f>
        <v>87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3" t="s">
        <v>354</v>
      </c>
      <c r="B44" s="26" t="n">
        <f aca="false">B43*Inputs!B33+Inputs!B34</f>
        <v>1305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3" t="s">
        <v>355</v>
      </c>
      <c r="B45" s="28" t="n">
        <f aca="false">B42+B44</f>
        <v>5851.78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3" t="s">
        <v>356</v>
      </c>
      <c r="B46" s="26" t="n">
        <f aca="false">B45*Inputs!B15</f>
        <v>877.767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3" t="s">
        <v>357</v>
      </c>
      <c r="B47" s="28" t="n">
        <f aca="false">B45+B46</f>
        <v>6729.547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3" t="s">
        <v>358</v>
      </c>
      <c r="B48" s="28" t="n">
        <f aca="false">B45*12</f>
        <v>70221.36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3" t="s">
        <v>359</v>
      </c>
      <c r="B49" s="28" t="n">
        <f aca="false">B45*Inputs!B17</f>
        <v>70221.36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3" t="s">
        <v>360</v>
      </c>
      <c r="B50" s="26" t="n">
        <f aca="false">Inputs!B35+Inputs!B36+Inputs!B37</f>
        <v>7500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3" t="s">
        <v>361</v>
      </c>
      <c r="B51" s="26" t="n">
        <f aca="false">B42-B41</f>
        <v>1591.255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3" t="s">
        <v>362</v>
      </c>
      <c r="B52" s="29" t="n">
        <f aca="false">IF(B42=0,0,B51/B42)</f>
        <v>0.349974047567729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3" t="s">
        <v>363</v>
      </c>
      <c r="B53" s="26" t="n">
        <f aca="false">B51+B44</f>
        <v>2896.255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3" t="s">
        <v>364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dataValidations count="1">
    <dataValidation allowBlank="true" error="Pick a SKU name from the Pricelist sheet." errorStyle="stop" operator="between" showDropDown="false" showErrorMessage="false" showInputMessage="false" sqref="B8:B37" type="list">
      <formula1>Pricelist!$E$5:$E$123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11" min="4" style="0" width="13"/>
  </cols>
  <sheetData>
    <row r="1" customFormat="false" ht="17.35" hidden="false" customHeight="false" outlineLevel="0" collapsed="false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11" t="s">
        <v>338</v>
      </c>
      <c r="B4" s="11" t="s">
        <v>58</v>
      </c>
      <c r="C4" s="11" t="s">
        <v>339</v>
      </c>
      <c r="D4" s="11" t="s">
        <v>59</v>
      </c>
      <c r="E4" s="11" t="s">
        <v>60</v>
      </c>
      <c r="F4" s="11" t="s">
        <v>61</v>
      </c>
      <c r="G4" s="11" t="s">
        <v>62</v>
      </c>
      <c r="H4" s="11" t="s">
        <v>63</v>
      </c>
      <c r="I4" s="11" t="s">
        <v>64</v>
      </c>
      <c r="J4" s="11" t="s">
        <v>65</v>
      </c>
      <c r="K4" s="11" t="s">
        <v>66</v>
      </c>
    </row>
    <row r="5" customFormat="false" ht="15" hidden="false" customHeight="false" outlineLevel="0" collapsed="false">
      <c r="A5" s="2"/>
      <c r="B5" s="2"/>
      <c r="C5" s="3" t="s">
        <v>367</v>
      </c>
      <c r="D5" s="15" t="n">
        <v>250</v>
      </c>
      <c r="E5" s="15" t="n">
        <v>500</v>
      </c>
      <c r="F5" s="15" t="n">
        <v>1000</v>
      </c>
      <c r="G5" s="15" t="n">
        <v>2000</v>
      </c>
      <c r="H5" s="15" t="n">
        <v>4000</v>
      </c>
      <c r="I5" s="15" t="n">
        <v>7000</v>
      </c>
      <c r="J5" s="15" t="n">
        <v>10000</v>
      </c>
      <c r="K5" s="15" t="n">
        <v>15000</v>
      </c>
    </row>
    <row r="6" customFormat="false" ht="15" hidden="false" customHeight="false" outlineLevel="0" collapsed="false">
      <c r="A6" s="2" t="n">
        <v>1</v>
      </c>
      <c r="B6" s="2" t="str">
        <f aca="false">Quote!B8</f>
        <v>Ultimate Protection - WL - Server (3 TB of Acronis Hosted Storage included) - G2 - Acronis Cyber Protect Cloud</v>
      </c>
      <c r="C6" s="18" t="n">
        <f aca="false">IF(Quote!B8="","",Quote!F8)</f>
        <v>2</v>
      </c>
      <c r="D6" s="30" t="n">
        <f aca="false">IF(Quote!$B8="",0,Quote!$F8*INDEX(Pricelist!$G$5:$G$123,MATCH(Quote!$B8,Pricelist!$E$5:$E$123,0)))</f>
        <v>175</v>
      </c>
      <c r="E6" s="30" t="n">
        <f aca="false">IF(Quote!$B8="",0,Quote!$F8*INDEX(Pricelist!$H$5:$H$123,MATCH(Quote!$B8,Pricelist!$E$5:$E$123,0)))</f>
        <v>162.76</v>
      </c>
      <c r="F6" s="30" t="n">
        <f aca="false">IF(Quote!$B8="",0,Quote!$F8*INDEX(Pricelist!$I$5:$I$123,MATCH(Quote!$B8,Pricelist!$E$5:$E$123,0)))</f>
        <v>149.74</v>
      </c>
      <c r="G6" s="30" t="n">
        <f aca="false">IF(Quote!$B8="",0,Quote!$F8*INDEX(Pricelist!$J$5:$J$123,MATCH(Quote!$B8,Pricelist!$E$5:$E$123,0)))</f>
        <v>134.76</v>
      </c>
      <c r="H6" s="30" t="n">
        <f aca="false">IF(Quote!$B8="",0,Quote!$F8*INDEX(Pricelist!$K$5:$K$123,MATCH(Quote!$B8,Pricelist!$E$5:$E$123,0)))</f>
        <v>128.02</v>
      </c>
      <c r="I6" s="30" t="n">
        <f aca="false">IF(Quote!$B8="",0,Quote!$F8*INDEX(Pricelist!$L$5:$L$123,MATCH(Quote!$B8,Pricelist!$E$5:$E$123,0)))</f>
        <v>124.18</v>
      </c>
      <c r="J6" s="30" t="n">
        <f aca="false">IF(Quote!$B8="",0,Quote!$F8*INDEX(Pricelist!$M$5:$M$123,MATCH(Quote!$B8,Pricelist!$E$5:$E$123,0)))</f>
        <v>120.46</v>
      </c>
      <c r="K6" s="30" t="n">
        <f aca="false">IF(Quote!$B8="",0,Quote!$F8*INDEX(Pricelist!$N$5:$N$123,MATCH(Quote!$B8,Pricelist!$E$5:$E$123,0)))</f>
        <v>118.06</v>
      </c>
    </row>
    <row r="7" customFormat="false" ht="15" hidden="false" customHeight="false" outlineLevel="0" collapsed="false">
      <c r="A7" s="2" t="n">
        <v>2</v>
      </c>
      <c r="B7" s="2" t="str">
        <f aca="false">Quote!B9</f>
        <v>Ultimate Protection - WL - Workstation (300 GB of Acronis Hosted Storage included) - G2 - Acronis Cyber Protect Cloud</v>
      </c>
      <c r="C7" s="18" t="n">
        <f aca="false">IF(Quote!B9="","",Quote!F9)</f>
        <v>25</v>
      </c>
      <c r="D7" s="30" t="n">
        <f aca="false">IF(Quote!$B9="",0,Quote!$F9*INDEX(Pricelist!$G$5:$G$123,MATCH(Quote!$B9,Pricelist!$E$5:$E$123,0)))</f>
        <v>405</v>
      </c>
      <c r="E7" s="30" t="n">
        <f aca="false">IF(Quote!$B9="",0,Quote!$F9*INDEX(Pricelist!$H$5:$H$123,MATCH(Quote!$B9,Pricelist!$E$5:$E$123,0)))</f>
        <v>376.75</v>
      </c>
      <c r="F7" s="30" t="n">
        <f aca="false">IF(Quote!$B9="",0,Quote!$F9*INDEX(Pricelist!$I$5:$I$123,MATCH(Quote!$B9,Pricelist!$E$5:$E$123,0)))</f>
        <v>346.5</v>
      </c>
      <c r="G7" s="30" t="n">
        <f aca="false">IF(Quote!$B9="",0,Quote!$F9*INDEX(Pricelist!$J$5:$J$123,MATCH(Quote!$B9,Pricelist!$E$5:$E$123,0)))</f>
        <v>305</v>
      </c>
      <c r="H7" s="30" t="n">
        <f aca="false">IF(Quote!$B9="",0,Quote!$F9*INDEX(Pricelist!$K$5:$K$123,MATCH(Quote!$B9,Pricelist!$E$5:$E$123,0)))</f>
        <v>277.5</v>
      </c>
      <c r="I7" s="30" t="n">
        <f aca="false">IF(Quote!$B9="",0,Quote!$F9*INDEX(Pricelist!$L$5:$L$123,MATCH(Quote!$B9,Pricelist!$E$5:$E$123,0)))</f>
        <v>260.75</v>
      </c>
      <c r="J7" s="30" t="n">
        <f aca="false">IF(Quote!$B9="",0,Quote!$F9*INDEX(Pricelist!$M$5:$M$123,MATCH(Quote!$B9,Pricelist!$E$5:$E$123,0)))</f>
        <v>245</v>
      </c>
      <c r="K7" s="30" t="n">
        <f aca="false">IF(Quote!$B9="",0,Quote!$F9*INDEX(Pricelist!$N$5:$N$123,MATCH(Quote!$B9,Pricelist!$E$5:$E$123,0)))</f>
        <v>240</v>
      </c>
    </row>
    <row r="8" customFormat="false" ht="15" hidden="false" customHeight="false" outlineLevel="0" collapsed="false">
      <c r="A8" s="2" t="n">
        <v>3</v>
      </c>
      <c r="B8" s="2" t="str">
        <f aca="false">Quote!B10</f>
        <v>Ultimate Protection - WL - Microsoft 365 seat (unlimited Acronis Hosted Cloud Storage included1) - G2 - Acronis Cyber Protect Cloud</v>
      </c>
      <c r="C8" s="18" t="n">
        <f aca="false">IF(Quote!B10="","",Quote!F10)</f>
        <v>30</v>
      </c>
      <c r="D8" s="30" t="n">
        <f aca="false">IF(Quote!$B10="",0,Quote!$F10*INDEX(Pricelist!$G$5:$G$123,MATCH(Quote!$B10,Pricelist!$E$5:$E$123,0)))</f>
        <v>285</v>
      </c>
      <c r="E8" s="30" t="n">
        <f aca="false">IF(Quote!$B10="",0,Quote!$F10*INDEX(Pricelist!$H$5:$H$123,MATCH(Quote!$B10,Pricelist!$E$5:$E$123,0)))</f>
        <v>270.9</v>
      </c>
      <c r="F8" s="30" t="n">
        <f aca="false">IF(Quote!$B10="",0,Quote!$F10*INDEX(Pricelist!$I$5:$I$123,MATCH(Quote!$B10,Pricelist!$E$5:$E$123,0)))</f>
        <v>254.7</v>
      </c>
      <c r="G8" s="30" t="n">
        <f aca="false">IF(Quote!$B10="",0,Quote!$F10*INDEX(Pricelist!$J$5:$J$123,MATCH(Quote!$B10,Pricelist!$E$5:$E$123,0)))</f>
        <v>234.3</v>
      </c>
      <c r="H8" s="30" t="n">
        <f aca="false">IF(Quote!$B10="",0,Quote!$F10*INDEX(Pricelist!$K$5:$K$123,MATCH(Quote!$B10,Pricelist!$E$5:$E$123,0)))</f>
        <v>215.7</v>
      </c>
      <c r="I8" s="30" t="n">
        <f aca="false">IF(Quote!$B10="",0,Quote!$F10*INDEX(Pricelist!$L$5:$L$123,MATCH(Quote!$B10,Pricelist!$E$5:$E$123,0)))</f>
        <v>209.1</v>
      </c>
      <c r="J8" s="30" t="n">
        <f aca="false">IF(Quote!$B10="",0,Quote!$F10*INDEX(Pricelist!$M$5:$M$123,MATCH(Quote!$B10,Pricelist!$E$5:$E$123,0)))</f>
        <v>202.8</v>
      </c>
      <c r="K8" s="30" t="n">
        <f aca="false">IF(Quote!$B10="",0,Quote!$F10*INDEX(Pricelist!$N$5:$N$123,MATCH(Quote!$B10,Pricelist!$E$5:$E$123,0)))</f>
        <v>198.6</v>
      </c>
    </row>
    <row r="9" customFormat="false" ht="15" hidden="false" customHeight="false" outlineLevel="0" collapsed="false">
      <c r="A9" s="2" t="n">
        <v>4</v>
      </c>
      <c r="B9" s="2" t="str">
        <f aca="false">Quote!B11</f>
        <v>Solution-based Licensing - Security Awareness Training (per user) - Acronis Cyber Protect Cloud</v>
      </c>
      <c r="C9" s="18" t="n">
        <f aca="false">IF(Quote!B11="","",Quote!F11)</f>
        <v>30</v>
      </c>
      <c r="D9" s="30" t="n">
        <f aca="false">IF(Quote!$B11="",0,Quote!$F11*INDEX(Pricelist!$G$5:$G$123,MATCH(Quote!$B11,Pricelist!$E$5:$E$123,0)))</f>
        <v>42</v>
      </c>
      <c r="E9" s="30" t="n">
        <f aca="false">IF(Quote!$B11="",0,Quote!$F11*INDEX(Pricelist!$H$5:$H$123,MATCH(Quote!$B11,Pricelist!$E$5:$E$123,0)))</f>
        <v>39.9</v>
      </c>
      <c r="F9" s="30" t="n">
        <f aca="false">IF(Quote!$B11="",0,Quote!$F11*INDEX(Pricelist!$I$5:$I$123,MATCH(Quote!$B11,Pricelist!$E$5:$E$123,0)))</f>
        <v>37.2</v>
      </c>
      <c r="G9" s="30" t="n">
        <f aca="false">IF(Quote!$B11="",0,Quote!$F11*INDEX(Pricelist!$J$5:$J$123,MATCH(Quote!$B11,Pricelist!$E$5:$E$123,0)))</f>
        <v>33.6</v>
      </c>
      <c r="H9" s="30" t="n">
        <f aca="false">IF(Quote!$B11="",0,Quote!$F11*INDEX(Pricelist!$K$5:$K$123,MATCH(Quote!$B11,Pricelist!$E$5:$E$123,0)))</f>
        <v>30.9</v>
      </c>
      <c r="I9" s="30" t="n">
        <f aca="false">IF(Quote!$B11="",0,Quote!$F11*INDEX(Pricelist!$L$5:$L$123,MATCH(Quote!$B11,Pricelist!$E$5:$E$123,0)))</f>
        <v>29.7</v>
      </c>
      <c r="J9" s="30" t="n">
        <f aca="false">IF(Quote!$B11="",0,Quote!$F11*INDEX(Pricelist!$M$5:$M$123,MATCH(Quote!$B11,Pricelist!$E$5:$E$123,0)))</f>
        <v>28.5</v>
      </c>
      <c r="K9" s="30" t="n">
        <f aca="false">IF(Quote!$B11="",0,Quote!$F11*INDEX(Pricelist!$N$5:$N$123,MATCH(Quote!$B11,Pricelist!$E$5:$E$123,0)))</f>
        <v>27.9</v>
      </c>
    </row>
    <row r="10" customFormat="false" ht="15" hidden="false" customHeight="false" outlineLevel="0" collapsed="false">
      <c r="A10" s="2" t="n">
        <v>5</v>
      </c>
      <c r="B10" s="2" t="n">
        <f aca="false">Quote!B12</f>
        <v>0</v>
      </c>
      <c r="C10" s="18" t="str">
        <f aca="false">IF(Quote!B12="","",Quote!F12)</f>
        <v/>
      </c>
      <c r="D10" s="30" t="n">
        <f aca="false">IF(Quote!$B12="",0,Quote!$F12*INDEX(Pricelist!$G$5:$G$123,MATCH(Quote!$B12,Pricelist!$E$5:$E$123,0)))</f>
        <v>0</v>
      </c>
      <c r="E10" s="30" t="n">
        <f aca="false">IF(Quote!$B12="",0,Quote!$F12*INDEX(Pricelist!$H$5:$H$123,MATCH(Quote!$B12,Pricelist!$E$5:$E$123,0)))</f>
        <v>0</v>
      </c>
      <c r="F10" s="30" t="n">
        <f aca="false">IF(Quote!$B12="",0,Quote!$F12*INDEX(Pricelist!$I$5:$I$123,MATCH(Quote!$B12,Pricelist!$E$5:$E$123,0)))</f>
        <v>0</v>
      </c>
      <c r="G10" s="30" t="n">
        <f aca="false">IF(Quote!$B12="",0,Quote!$F12*INDEX(Pricelist!$J$5:$J$123,MATCH(Quote!$B12,Pricelist!$E$5:$E$123,0)))</f>
        <v>0</v>
      </c>
      <c r="H10" s="30" t="n">
        <f aca="false">IF(Quote!$B12="",0,Quote!$F12*INDEX(Pricelist!$K$5:$K$123,MATCH(Quote!$B12,Pricelist!$E$5:$E$123,0)))</f>
        <v>0</v>
      </c>
      <c r="I10" s="30" t="n">
        <f aca="false">IF(Quote!$B12="",0,Quote!$F12*INDEX(Pricelist!$L$5:$L$123,MATCH(Quote!$B12,Pricelist!$E$5:$E$123,0)))</f>
        <v>0</v>
      </c>
      <c r="J10" s="30" t="n">
        <f aca="false">IF(Quote!$B12="",0,Quote!$F12*INDEX(Pricelist!$M$5:$M$123,MATCH(Quote!$B12,Pricelist!$E$5:$E$123,0)))</f>
        <v>0</v>
      </c>
      <c r="K10" s="30" t="n">
        <f aca="false">IF(Quote!$B12="",0,Quote!$F12*INDEX(Pricelist!$N$5:$N$123,MATCH(Quote!$B12,Pricelist!$E$5:$E$123,0)))</f>
        <v>0</v>
      </c>
    </row>
    <row r="11" customFormat="false" ht="15" hidden="false" customHeight="false" outlineLevel="0" collapsed="false">
      <c r="A11" s="2" t="n">
        <v>6</v>
      </c>
      <c r="B11" s="2" t="n">
        <f aca="false">Quote!B13</f>
        <v>0</v>
      </c>
      <c r="C11" s="18" t="str">
        <f aca="false">IF(Quote!B13="","",Quote!F13)</f>
        <v/>
      </c>
      <c r="D11" s="30" t="n">
        <f aca="false">IF(Quote!$B13="",0,Quote!$F13*INDEX(Pricelist!$G$5:$G$123,MATCH(Quote!$B13,Pricelist!$E$5:$E$123,0)))</f>
        <v>0</v>
      </c>
      <c r="E11" s="30" t="n">
        <f aca="false">IF(Quote!$B13="",0,Quote!$F13*INDEX(Pricelist!$H$5:$H$123,MATCH(Quote!$B13,Pricelist!$E$5:$E$123,0)))</f>
        <v>0</v>
      </c>
      <c r="F11" s="30" t="n">
        <f aca="false">IF(Quote!$B13="",0,Quote!$F13*INDEX(Pricelist!$I$5:$I$123,MATCH(Quote!$B13,Pricelist!$E$5:$E$123,0)))</f>
        <v>0</v>
      </c>
      <c r="G11" s="30" t="n">
        <f aca="false">IF(Quote!$B13="",0,Quote!$F13*INDEX(Pricelist!$J$5:$J$123,MATCH(Quote!$B13,Pricelist!$E$5:$E$123,0)))</f>
        <v>0</v>
      </c>
      <c r="H11" s="30" t="n">
        <f aca="false">IF(Quote!$B13="",0,Quote!$F13*INDEX(Pricelist!$K$5:$K$123,MATCH(Quote!$B13,Pricelist!$E$5:$E$123,0)))</f>
        <v>0</v>
      </c>
      <c r="I11" s="30" t="n">
        <f aca="false">IF(Quote!$B13="",0,Quote!$F13*INDEX(Pricelist!$L$5:$L$123,MATCH(Quote!$B13,Pricelist!$E$5:$E$123,0)))</f>
        <v>0</v>
      </c>
      <c r="J11" s="30" t="n">
        <f aca="false">IF(Quote!$B13="",0,Quote!$F13*INDEX(Pricelist!$M$5:$M$123,MATCH(Quote!$B13,Pricelist!$E$5:$E$123,0)))</f>
        <v>0</v>
      </c>
      <c r="K11" s="30" t="n">
        <f aca="false">IF(Quote!$B13="",0,Quote!$F13*INDEX(Pricelist!$N$5:$N$123,MATCH(Quote!$B13,Pricelist!$E$5:$E$123,0)))</f>
        <v>0</v>
      </c>
    </row>
    <row r="12" customFormat="false" ht="15" hidden="false" customHeight="false" outlineLevel="0" collapsed="false">
      <c r="A12" s="2" t="n">
        <v>7</v>
      </c>
      <c r="B12" s="2" t="n">
        <f aca="false">Quote!B14</f>
        <v>0</v>
      </c>
      <c r="C12" s="18" t="str">
        <f aca="false">IF(Quote!B14="","",Quote!F14)</f>
        <v/>
      </c>
      <c r="D12" s="30" t="n">
        <f aca="false">IF(Quote!$B14="",0,Quote!$F14*INDEX(Pricelist!$G$5:$G$123,MATCH(Quote!$B14,Pricelist!$E$5:$E$123,0)))</f>
        <v>0</v>
      </c>
      <c r="E12" s="30" t="n">
        <f aca="false">IF(Quote!$B14="",0,Quote!$F14*INDEX(Pricelist!$H$5:$H$123,MATCH(Quote!$B14,Pricelist!$E$5:$E$123,0)))</f>
        <v>0</v>
      </c>
      <c r="F12" s="30" t="n">
        <f aca="false">IF(Quote!$B14="",0,Quote!$F14*INDEX(Pricelist!$I$5:$I$123,MATCH(Quote!$B14,Pricelist!$E$5:$E$123,0)))</f>
        <v>0</v>
      </c>
      <c r="G12" s="30" t="n">
        <f aca="false">IF(Quote!$B14="",0,Quote!$F14*INDEX(Pricelist!$J$5:$J$123,MATCH(Quote!$B14,Pricelist!$E$5:$E$123,0)))</f>
        <v>0</v>
      </c>
      <c r="H12" s="30" t="n">
        <f aca="false">IF(Quote!$B14="",0,Quote!$F14*INDEX(Pricelist!$K$5:$K$123,MATCH(Quote!$B14,Pricelist!$E$5:$E$123,0)))</f>
        <v>0</v>
      </c>
      <c r="I12" s="30" t="n">
        <f aca="false">IF(Quote!$B14="",0,Quote!$F14*INDEX(Pricelist!$L$5:$L$123,MATCH(Quote!$B14,Pricelist!$E$5:$E$123,0)))</f>
        <v>0</v>
      </c>
      <c r="J12" s="30" t="n">
        <f aca="false">IF(Quote!$B14="",0,Quote!$F14*INDEX(Pricelist!$M$5:$M$123,MATCH(Quote!$B14,Pricelist!$E$5:$E$123,0)))</f>
        <v>0</v>
      </c>
      <c r="K12" s="30" t="n">
        <f aca="false">IF(Quote!$B14="",0,Quote!$F14*INDEX(Pricelist!$N$5:$N$123,MATCH(Quote!$B14,Pricelist!$E$5:$E$123,0)))</f>
        <v>0</v>
      </c>
    </row>
    <row r="13" customFormat="false" ht="15" hidden="false" customHeight="false" outlineLevel="0" collapsed="false">
      <c r="A13" s="2" t="n">
        <v>8</v>
      </c>
      <c r="B13" s="2" t="n">
        <f aca="false">Quote!B15</f>
        <v>0</v>
      </c>
      <c r="C13" s="18" t="str">
        <f aca="false">IF(Quote!B15="","",Quote!F15)</f>
        <v/>
      </c>
      <c r="D13" s="30" t="n">
        <f aca="false">IF(Quote!$B15="",0,Quote!$F15*INDEX(Pricelist!$G$5:$G$123,MATCH(Quote!$B15,Pricelist!$E$5:$E$123,0)))</f>
        <v>0</v>
      </c>
      <c r="E13" s="30" t="n">
        <f aca="false">IF(Quote!$B15="",0,Quote!$F15*INDEX(Pricelist!$H$5:$H$123,MATCH(Quote!$B15,Pricelist!$E$5:$E$123,0)))</f>
        <v>0</v>
      </c>
      <c r="F13" s="30" t="n">
        <f aca="false">IF(Quote!$B15="",0,Quote!$F15*INDEX(Pricelist!$I$5:$I$123,MATCH(Quote!$B15,Pricelist!$E$5:$E$123,0)))</f>
        <v>0</v>
      </c>
      <c r="G13" s="30" t="n">
        <f aca="false">IF(Quote!$B15="",0,Quote!$F15*INDEX(Pricelist!$J$5:$J$123,MATCH(Quote!$B15,Pricelist!$E$5:$E$123,0)))</f>
        <v>0</v>
      </c>
      <c r="H13" s="30" t="n">
        <f aca="false">IF(Quote!$B15="",0,Quote!$F15*INDEX(Pricelist!$K$5:$K$123,MATCH(Quote!$B15,Pricelist!$E$5:$E$123,0)))</f>
        <v>0</v>
      </c>
      <c r="I13" s="30" t="n">
        <f aca="false">IF(Quote!$B15="",0,Quote!$F15*INDEX(Pricelist!$L$5:$L$123,MATCH(Quote!$B15,Pricelist!$E$5:$E$123,0)))</f>
        <v>0</v>
      </c>
      <c r="J13" s="30" t="n">
        <f aca="false">IF(Quote!$B15="",0,Quote!$F15*INDEX(Pricelist!$M$5:$M$123,MATCH(Quote!$B15,Pricelist!$E$5:$E$123,0)))</f>
        <v>0</v>
      </c>
      <c r="K13" s="30" t="n">
        <f aca="false">IF(Quote!$B15="",0,Quote!$F15*INDEX(Pricelist!$N$5:$N$123,MATCH(Quote!$B15,Pricelist!$E$5:$E$123,0)))</f>
        <v>0</v>
      </c>
    </row>
    <row r="14" customFormat="false" ht="15" hidden="false" customHeight="false" outlineLevel="0" collapsed="false">
      <c r="A14" s="2" t="n">
        <v>9</v>
      </c>
      <c r="B14" s="2" t="n">
        <f aca="false">Quote!B16</f>
        <v>0</v>
      </c>
      <c r="C14" s="18" t="str">
        <f aca="false">IF(Quote!B16="","",Quote!F16)</f>
        <v/>
      </c>
      <c r="D14" s="30" t="n">
        <f aca="false">IF(Quote!$B16="",0,Quote!$F16*INDEX(Pricelist!$G$5:$G$123,MATCH(Quote!$B16,Pricelist!$E$5:$E$123,0)))</f>
        <v>0</v>
      </c>
      <c r="E14" s="30" t="n">
        <f aca="false">IF(Quote!$B16="",0,Quote!$F16*INDEX(Pricelist!$H$5:$H$123,MATCH(Quote!$B16,Pricelist!$E$5:$E$123,0)))</f>
        <v>0</v>
      </c>
      <c r="F14" s="30" t="n">
        <f aca="false">IF(Quote!$B16="",0,Quote!$F16*INDEX(Pricelist!$I$5:$I$123,MATCH(Quote!$B16,Pricelist!$E$5:$E$123,0)))</f>
        <v>0</v>
      </c>
      <c r="G14" s="30" t="n">
        <f aca="false">IF(Quote!$B16="",0,Quote!$F16*INDEX(Pricelist!$J$5:$J$123,MATCH(Quote!$B16,Pricelist!$E$5:$E$123,0)))</f>
        <v>0</v>
      </c>
      <c r="H14" s="30" t="n">
        <f aca="false">IF(Quote!$B16="",0,Quote!$F16*INDEX(Pricelist!$K$5:$K$123,MATCH(Quote!$B16,Pricelist!$E$5:$E$123,0)))</f>
        <v>0</v>
      </c>
      <c r="I14" s="30" t="n">
        <f aca="false">IF(Quote!$B16="",0,Quote!$F16*INDEX(Pricelist!$L$5:$L$123,MATCH(Quote!$B16,Pricelist!$E$5:$E$123,0)))</f>
        <v>0</v>
      </c>
      <c r="J14" s="30" t="n">
        <f aca="false">IF(Quote!$B16="",0,Quote!$F16*INDEX(Pricelist!$M$5:$M$123,MATCH(Quote!$B16,Pricelist!$E$5:$E$123,0)))</f>
        <v>0</v>
      </c>
      <c r="K14" s="30" t="n">
        <f aca="false">IF(Quote!$B16="",0,Quote!$F16*INDEX(Pricelist!$N$5:$N$123,MATCH(Quote!$B16,Pricelist!$E$5:$E$123,0)))</f>
        <v>0</v>
      </c>
    </row>
    <row r="15" customFormat="false" ht="15" hidden="false" customHeight="false" outlineLevel="0" collapsed="false">
      <c r="A15" s="2" t="n">
        <v>10</v>
      </c>
      <c r="B15" s="2" t="n">
        <f aca="false">Quote!B17</f>
        <v>0</v>
      </c>
      <c r="C15" s="18" t="str">
        <f aca="false">IF(Quote!B17="","",Quote!F17)</f>
        <v/>
      </c>
      <c r="D15" s="30" t="n">
        <f aca="false">IF(Quote!$B17="",0,Quote!$F17*INDEX(Pricelist!$G$5:$G$123,MATCH(Quote!$B17,Pricelist!$E$5:$E$123,0)))</f>
        <v>0</v>
      </c>
      <c r="E15" s="30" t="n">
        <f aca="false">IF(Quote!$B17="",0,Quote!$F17*INDEX(Pricelist!$H$5:$H$123,MATCH(Quote!$B17,Pricelist!$E$5:$E$123,0)))</f>
        <v>0</v>
      </c>
      <c r="F15" s="30" t="n">
        <f aca="false">IF(Quote!$B17="",0,Quote!$F17*INDEX(Pricelist!$I$5:$I$123,MATCH(Quote!$B17,Pricelist!$E$5:$E$123,0)))</f>
        <v>0</v>
      </c>
      <c r="G15" s="30" t="n">
        <f aca="false">IF(Quote!$B17="",0,Quote!$F17*INDEX(Pricelist!$J$5:$J$123,MATCH(Quote!$B17,Pricelist!$E$5:$E$123,0)))</f>
        <v>0</v>
      </c>
      <c r="H15" s="30" t="n">
        <f aca="false">IF(Quote!$B17="",0,Quote!$F17*INDEX(Pricelist!$K$5:$K$123,MATCH(Quote!$B17,Pricelist!$E$5:$E$123,0)))</f>
        <v>0</v>
      </c>
      <c r="I15" s="30" t="n">
        <f aca="false">IF(Quote!$B17="",0,Quote!$F17*INDEX(Pricelist!$L$5:$L$123,MATCH(Quote!$B17,Pricelist!$E$5:$E$123,0)))</f>
        <v>0</v>
      </c>
      <c r="J15" s="30" t="n">
        <f aca="false">IF(Quote!$B17="",0,Quote!$F17*INDEX(Pricelist!$M$5:$M$123,MATCH(Quote!$B17,Pricelist!$E$5:$E$123,0)))</f>
        <v>0</v>
      </c>
      <c r="K15" s="30" t="n">
        <f aca="false">IF(Quote!$B17="",0,Quote!$F17*INDEX(Pricelist!$N$5:$N$123,MATCH(Quote!$B17,Pricelist!$E$5:$E$123,0)))</f>
        <v>0</v>
      </c>
    </row>
    <row r="16" customFormat="false" ht="15" hidden="false" customHeight="false" outlineLevel="0" collapsed="false">
      <c r="A16" s="2" t="n">
        <v>11</v>
      </c>
      <c r="B16" s="2" t="n">
        <f aca="false">Quote!B18</f>
        <v>0</v>
      </c>
      <c r="C16" s="18" t="str">
        <f aca="false">IF(Quote!B18="","",Quote!F18)</f>
        <v/>
      </c>
      <c r="D16" s="30" t="n">
        <f aca="false">IF(Quote!$B18="",0,Quote!$F18*INDEX(Pricelist!$G$5:$G$123,MATCH(Quote!$B18,Pricelist!$E$5:$E$123,0)))</f>
        <v>0</v>
      </c>
      <c r="E16" s="30" t="n">
        <f aca="false">IF(Quote!$B18="",0,Quote!$F18*INDEX(Pricelist!$H$5:$H$123,MATCH(Quote!$B18,Pricelist!$E$5:$E$123,0)))</f>
        <v>0</v>
      </c>
      <c r="F16" s="30" t="n">
        <f aca="false">IF(Quote!$B18="",0,Quote!$F18*INDEX(Pricelist!$I$5:$I$123,MATCH(Quote!$B18,Pricelist!$E$5:$E$123,0)))</f>
        <v>0</v>
      </c>
      <c r="G16" s="30" t="n">
        <f aca="false">IF(Quote!$B18="",0,Quote!$F18*INDEX(Pricelist!$J$5:$J$123,MATCH(Quote!$B18,Pricelist!$E$5:$E$123,0)))</f>
        <v>0</v>
      </c>
      <c r="H16" s="30" t="n">
        <f aca="false">IF(Quote!$B18="",0,Quote!$F18*INDEX(Pricelist!$K$5:$K$123,MATCH(Quote!$B18,Pricelist!$E$5:$E$123,0)))</f>
        <v>0</v>
      </c>
      <c r="I16" s="30" t="n">
        <f aca="false">IF(Quote!$B18="",0,Quote!$F18*INDEX(Pricelist!$L$5:$L$123,MATCH(Quote!$B18,Pricelist!$E$5:$E$123,0)))</f>
        <v>0</v>
      </c>
      <c r="J16" s="30" t="n">
        <f aca="false">IF(Quote!$B18="",0,Quote!$F18*INDEX(Pricelist!$M$5:$M$123,MATCH(Quote!$B18,Pricelist!$E$5:$E$123,0)))</f>
        <v>0</v>
      </c>
      <c r="K16" s="30" t="n">
        <f aca="false">IF(Quote!$B18="",0,Quote!$F18*INDEX(Pricelist!$N$5:$N$123,MATCH(Quote!$B18,Pricelist!$E$5:$E$123,0)))</f>
        <v>0</v>
      </c>
    </row>
    <row r="17" customFormat="false" ht="15" hidden="false" customHeight="false" outlineLevel="0" collapsed="false">
      <c r="A17" s="2" t="n">
        <v>12</v>
      </c>
      <c r="B17" s="2" t="n">
        <f aca="false">Quote!B19</f>
        <v>0</v>
      </c>
      <c r="C17" s="18" t="str">
        <f aca="false">IF(Quote!B19="","",Quote!F19)</f>
        <v/>
      </c>
      <c r="D17" s="30" t="n">
        <f aca="false">IF(Quote!$B19="",0,Quote!$F19*INDEX(Pricelist!$G$5:$G$123,MATCH(Quote!$B19,Pricelist!$E$5:$E$123,0)))</f>
        <v>0</v>
      </c>
      <c r="E17" s="30" t="n">
        <f aca="false">IF(Quote!$B19="",0,Quote!$F19*INDEX(Pricelist!$H$5:$H$123,MATCH(Quote!$B19,Pricelist!$E$5:$E$123,0)))</f>
        <v>0</v>
      </c>
      <c r="F17" s="30" t="n">
        <f aca="false">IF(Quote!$B19="",0,Quote!$F19*INDEX(Pricelist!$I$5:$I$123,MATCH(Quote!$B19,Pricelist!$E$5:$E$123,0)))</f>
        <v>0</v>
      </c>
      <c r="G17" s="30" t="n">
        <f aca="false">IF(Quote!$B19="",0,Quote!$F19*INDEX(Pricelist!$J$5:$J$123,MATCH(Quote!$B19,Pricelist!$E$5:$E$123,0)))</f>
        <v>0</v>
      </c>
      <c r="H17" s="30" t="n">
        <f aca="false">IF(Quote!$B19="",0,Quote!$F19*INDEX(Pricelist!$K$5:$K$123,MATCH(Quote!$B19,Pricelist!$E$5:$E$123,0)))</f>
        <v>0</v>
      </c>
      <c r="I17" s="30" t="n">
        <f aca="false">IF(Quote!$B19="",0,Quote!$F19*INDEX(Pricelist!$L$5:$L$123,MATCH(Quote!$B19,Pricelist!$E$5:$E$123,0)))</f>
        <v>0</v>
      </c>
      <c r="J17" s="30" t="n">
        <f aca="false">IF(Quote!$B19="",0,Quote!$F19*INDEX(Pricelist!$M$5:$M$123,MATCH(Quote!$B19,Pricelist!$E$5:$E$123,0)))</f>
        <v>0</v>
      </c>
      <c r="K17" s="30" t="n">
        <f aca="false">IF(Quote!$B19="",0,Quote!$F19*INDEX(Pricelist!$N$5:$N$123,MATCH(Quote!$B19,Pricelist!$E$5:$E$123,0)))</f>
        <v>0</v>
      </c>
    </row>
    <row r="18" customFormat="false" ht="15" hidden="false" customHeight="false" outlineLevel="0" collapsed="false">
      <c r="A18" s="2" t="n">
        <v>13</v>
      </c>
      <c r="B18" s="2" t="n">
        <f aca="false">Quote!B20</f>
        <v>0</v>
      </c>
      <c r="C18" s="18" t="str">
        <f aca="false">IF(Quote!B20="","",Quote!F20)</f>
        <v/>
      </c>
      <c r="D18" s="30" t="n">
        <f aca="false">IF(Quote!$B20="",0,Quote!$F20*INDEX(Pricelist!$G$5:$G$123,MATCH(Quote!$B20,Pricelist!$E$5:$E$123,0)))</f>
        <v>0</v>
      </c>
      <c r="E18" s="30" t="n">
        <f aca="false">IF(Quote!$B20="",0,Quote!$F20*INDEX(Pricelist!$H$5:$H$123,MATCH(Quote!$B20,Pricelist!$E$5:$E$123,0)))</f>
        <v>0</v>
      </c>
      <c r="F18" s="30" t="n">
        <f aca="false">IF(Quote!$B20="",0,Quote!$F20*INDEX(Pricelist!$I$5:$I$123,MATCH(Quote!$B20,Pricelist!$E$5:$E$123,0)))</f>
        <v>0</v>
      </c>
      <c r="G18" s="30" t="n">
        <f aca="false">IF(Quote!$B20="",0,Quote!$F20*INDEX(Pricelist!$J$5:$J$123,MATCH(Quote!$B20,Pricelist!$E$5:$E$123,0)))</f>
        <v>0</v>
      </c>
      <c r="H18" s="30" t="n">
        <f aca="false">IF(Quote!$B20="",0,Quote!$F20*INDEX(Pricelist!$K$5:$K$123,MATCH(Quote!$B20,Pricelist!$E$5:$E$123,0)))</f>
        <v>0</v>
      </c>
      <c r="I18" s="30" t="n">
        <f aca="false">IF(Quote!$B20="",0,Quote!$F20*INDEX(Pricelist!$L$5:$L$123,MATCH(Quote!$B20,Pricelist!$E$5:$E$123,0)))</f>
        <v>0</v>
      </c>
      <c r="J18" s="30" t="n">
        <f aca="false">IF(Quote!$B20="",0,Quote!$F20*INDEX(Pricelist!$M$5:$M$123,MATCH(Quote!$B20,Pricelist!$E$5:$E$123,0)))</f>
        <v>0</v>
      </c>
      <c r="K18" s="30" t="n">
        <f aca="false">IF(Quote!$B20="",0,Quote!$F20*INDEX(Pricelist!$N$5:$N$123,MATCH(Quote!$B20,Pricelist!$E$5:$E$123,0)))</f>
        <v>0</v>
      </c>
    </row>
    <row r="19" customFormat="false" ht="15" hidden="false" customHeight="false" outlineLevel="0" collapsed="false">
      <c r="A19" s="2" t="n">
        <v>14</v>
      </c>
      <c r="B19" s="2" t="n">
        <f aca="false">Quote!B21</f>
        <v>0</v>
      </c>
      <c r="C19" s="18" t="str">
        <f aca="false">IF(Quote!B21="","",Quote!F21)</f>
        <v/>
      </c>
      <c r="D19" s="30" t="n">
        <f aca="false">IF(Quote!$B21="",0,Quote!$F21*INDEX(Pricelist!$G$5:$G$123,MATCH(Quote!$B21,Pricelist!$E$5:$E$123,0)))</f>
        <v>0</v>
      </c>
      <c r="E19" s="30" t="n">
        <f aca="false">IF(Quote!$B21="",0,Quote!$F21*INDEX(Pricelist!$H$5:$H$123,MATCH(Quote!$B21,Pricelist!$E$5:$E$123,0)))</f>
        <v>0</v>
      </c>
      <c r="F19" s="30" t="n">
        <f aca="false">IF(Quote!$B21="",0,Quote!$F21*INDEX(Pricelist!$I$5:$I$123,MATCH(Quote!$B21,Pricelist!$E$5:$E$123,0)))</f>
        <v>0</v>
      </c>
      <c r="G19" s="30" t="n">
        <f aca="false">IF(Quote!$B21="",0,Quote!$F21*INDEX(Pricelist!$J$5:$J$123,MATCH(Quote!$B21,Pricelist!$E$5:$E$123,0)))</f>
        <v>0</v>
      </c>
      <c r="H19" s="30" t="n">
        <f aca="false">IF(Quote!$B21="",0,Quote!$F21*INDEX(Pricelist!$K$5:$K$123,MATCH(Quote!$B21,Pricelist!$E$5:$E$123,0)))</f>
        <v>0</v>
      </c>
      <c r="I19" s="30" t="n">
        <f aca="false">IF(Quote!$B21="",0,Quote!$F21*INDEX(Pricelist!$L$5:$L$123,MATCH(Quote!$B21,Pricelist!$E$5:$E$123,0)))</f>
        <v>0</v>
      </c>
      <c r="J19" s="30" t="n">
        <f aca="false">IF(Quote!$B21="",0,Quote!$F21*INDEX(Pricelist!$M$5:$M$123,MATCH(Quote!$B21,Pricelist!$E$5:$E$123,0)))</f>
        <v>0</v>
      </c>
      <c r="K19" s="30" t="n">
        <f aca="false">IF(Quote!$B21="",0,Quote!$F21*INDEX(Pricelist!$N$5:$N$123,MATCH(Quote!$B21,Pricelist!$E$5:$E$123,0)))</f>
        <v>0</v>
      </c>
    </row>
    <row r="20" customFormat="false" ht="15" hidden="false" customHeight="false" outlineLevel="0" collapsed="false">
      <c r="A20" s="2" t="n">
        <v>15</v>
      </c>
      <c r="B20" s="2" t="n">
        <f aca="false">Quote!B22</f>
        <v>0</v>
      </c>
      <c r="C20" s="18" t="str">
        <f aca="false">IF(Quote!B22="","",Quote!F22)</f>
        <v/>
      </c>
      <c r="D20" s="30" t="n">
        <f aca="false">IF(Quote!$B22="",0,Quote!$F22*INDEX(Pricelist!$G$5:$G$123,MATCH(Quote!$B22,Pricelist!$E$5:$E$123,0)))</f>
        <v>0</v>
      </c>
      <c r="E20" s="30" t="n">
        <f aca="false">IF(Quote!$B22="",0,Quote!$F22*INDEX(Pricelist!$H$5:$H$123,MATCH(Quote!$B22,Pricelist!$E$5:$E$123,0)))</f>
        <v>0</v>
      </c>
      <c r="F20" s="30" t="n">
        <f aca="false">IF(Quote!$B22="",0,Quote!$F22*INDEX(Pricelist!$I$5:$I$123,MATCH(Quote!$B22,Pricelist!$E$5:$E$123,0)))</f>
        <v>0</v>
      </c>
      <c r="G20" s="30" t="n">
        <f aca="false">IF(Quote!$B22="",0,Quote!$F22*INDEX(Pricelist!$J$5:$J$123,MATCH(Quote!$B22,Pricelist!$E$5:$E$123,0)))</f>
        <v>0</v>
      </c>
      <c r="H20" s="30" t="n">
        <f aca="false">IF(Quote!$B22="",0,Quote!$F22*INDEX(Pricelist!$K$5:$K$123,MATCH(Quote!$B22,Pricelist!$E$5:$E$123,0)))</f>
        <v>0</v>
      </c>
      <c r="I20" s="30" t="n">
        <f aca="false">IF(Quote!$B22="",0,Quote!$F22*INDEX(Pricelist!$L$5:$L$123,MATCH(Quote!$B22,Pricelist!$E$5:$E$123,0)))</f>
        <v>0</v>
      </c>
      <c r="J20" s="30" t="n">
        <f aca="false">IF(Quote!$B22="",0,Quote!$F22*INDEX(Pricelist!$M$5:$M$123,MATCH(Quote!$B22,Pricelist!$E$5:$E$123,0)))</f>
        <v>0</v>
      </c>
      <c r="K20" s="30" t="n">
        <f aca="false">IF(Quote!$B22="",0,Quote!$F22*INDEX(Pricelist!$N$5:$N$123,MATCH(Quote!$B22,Pricelist!$E$5:$E$123,0)))</f>
        <v>0</v>
      </c>
    </row>
    <row r="21" customFormat="false" ht="15" hidden="false" customHeight="false" outlineLevel="0" collapsed="false">
      <c r="A21" s="2" t="n">
        <v>16</v>
      </c>
      <c r="B21" s="2" t="n">
        <f aca="false">Quote!B23</f>
        <v>0</v>
      </c>
      <c r="C21" s="18" t="str">
        <f aca="false">IF(Quote!B23="","",Quote!F23)</f>
        <v/>
      </c>
      <c r="D21" s="30" t="n">
        <f aca="false">IF(Quote!$B23="",0,Quote!$F23*INDEX(Pricelist!$G$5:$G$123,MATCH(Quote!$B23,Pricelist!$E$5:$E$123,0)))</f>
        <v>0</v>
      </c>
      <c r="E21" s="30" t="n">
        <f aca="false">IF(Quote!$B23="",0,Quote!$F23*INDEX(Pricelist!$H$5:$H$123,MATCH(Quote!$B23,Pricelist!$E$5:$E$123,0)))</f>
        <v>0</v>
      </c>
      <c r="F21" s="30" t="n">
        <f aca="false">IF(Quote!$B23="",0,Quote!$F23*INDEX(Pricelist!$I$5:$I$123,MATCH(Quote!$B23,Pricelist!$E$5:$E$123,0)))</f>
        <v>0</v>
      </c>
      <c r="G21" s="30" t="n">
        <f aca="false">IF(Quote!$B23="",0,Quote!$F23*INDEX(Pricelist!$J$5:$J$123,MATCH(Quote!$B23,Pricelist!$E$5:$E$123,0)))</f>
        <v>0</v>
      </c>
      <c r="H21" s="30" t="n">
        <f aca="false">IF(Quote!$B23="",0,Quote!$F23*INDEX(Pricelist!$K$5:$K$123,MATCH(Quote!$B23,Pricelist!$E$5:$E$123,0)))</f>
        <v>0</v>
      </c>
      <c r="I21" s="30" t="n">
        <f aca="false">IF(Quote!$B23="",0,Quote!$F23*INDEX(Pricelist!$L$5:$L$123,MATCH(Quote!$B23,Pricelist!$E$5:$E$123,0)))</f>
        <v>0</v>
      </c>
      <c r="J21" s="30" t="n">
        <f aca="false">IF(Quote!$B23="",0,Quote!$F23*INDEX(Pricelist!$M$5:$M$123,MATCH(Quote!$B23,Pricelist!$E$5:$E$123,0)))</f>
        <v>0</v>
      </c>
      <c r="K21" s="30" t="n">
        <f aca="false">IF(Quote!$B23="",0,Quote!$F23*INDEX(Pricelist!$N$5:$N$123,MATCH(Quote!$B23,Pricelist!$E$5:$E$123,0)))</f>
        <v>0</v>
      </c>
    </row>
    <row r="22" customFormat="false" ht="15" hidden="false" customHeight="false" outlineLevel="0" collapsed="false">
      <c r="A22" s="2" t="n">
        <v>17</v>
      </c>
      <c r="B22" s="2" t="n">
        <f aca="false">Quote!B24</f>
        <v>0</v>
      </c>
      <c r="C22" s="18" t="str">
        <f aca="false">IF(Quote!B24="","",Quote!F24)</f>
        <v/>
      </c>
      <c r="D22" s="30" t="n">
        <f aca="false">IF(Quote!$B24="",0,Quote!$F24*INDEX(Pricelist!$G$5:$G$123,MATCH(Quote!$B24,Pricelist!$E$5:$E$123,0)))</f>
        <v>0</v>
      </c>
      <c r="E22" s="30" t="n">
        <f aca="false">IF(Quote!$B24="",0,Quote!$F24*INDEX(Pricelist!$H$5:$H$123,MATCH(Quote!$B24,Pricelist!$E$5:$E$123,0)))</f>
        <v>0</v>
      </c>
      <c r="F22" s="30" t="n">
        <f aca="false">IF(Quote!$B24="",0,Quote!$F24*INDEX(Pricelist!$I$5:$I$123,MATCH(Quote!$B24,Pricelist!$E$5:$E$123,0)))</f>
        <v>0</v>
      </c>
      <c r="G22" s="30" t="n">
        <f aca="false">IF(Quote!$B24="",0,Quote!$F24*INDEX(Pricelist!$J$5:$J$123,MATCH(Quote!$B24,Pricelist!$E$5:$E$123,0)))</f>
        <v>0</v>
      </c>
      <c r="H22" s="30" t="n">
        <f aca="false">IF(Quote!$B24="",0,Quote!$F24*INDEX(Pricelist!$K$5:$K$123,MATCH(Quote!$B24,Pricelist!$E$5:$E$123,0)))</f>
        <v>0</v>
      </c>
      <c r="I22" s="30" t="n">
        <f aca="false">IF(Quote!$B24="",0,Quote!$F24*INDEX(Pricelist!$L$5:$L$123,MATCH(Quote!$B24,Pricelist!$E$5:$E$123,0)))</f>
        <v>0</v>
      </c>
      <c r="J22" s="30" t="n">
        <f aca="false">IF(Quote!$B24="",0,Quote!$F24*INDEX(Pricelist!$M$5:$M$123,MATCH(Quote!$B24,Pricelist!$E$5:$E$123,0)))</f>
        <v>0</v>
      </c>
      <c r="K22" s="30" t="n">
        <f aca="false">IF(Quote!$B24="",0,Quote!$F24*INDEX(Pricelist!$N$5:$N$123,MATCH(Quote!$B24,Pricelist!$E$5:$E$123,0)))</f>
        <v>0</v>
      </c>
    </row>
    <row r="23" customFormat="false" ht="15" hidden="false" customHeight="false" outlineLevel="0" collapsed="false">
      <c r="A23" s="2" t="n">
        <v>18</v>
      </c>
      <c r="B23" s="2" t="n">
        <f aca="false">Quote!B25</f>
        <v>0</v>
      </c>
      <c r="C23" s="18" t="str">
        <f aca="false">IF(Quote!B25="","",Quote!F25)</f>
        <v/>
      </c>
      <c r="D23" s="30" t="n">
        <f aca="false">IF(Quote!$B25="",0,Quote!$F25*INDEX(Pricelist!$G$5:$G$123,MATCH(Quote!$B25,Pricelist!$E$5:$E$123,0)))</f>
        <v>0</v>
      </c>
      <c r="E23" s="30" t="n">
        <f aca="false">IF(Quote!$B25="",0,Quote!$F25*INDEX(Pricelist!$H$5:$H$123,MATCH(Quote!$B25,Pricelist!$E$5:$E$123,0)))</f>
        <v>0</v>
      </c>
      <c r="F23" s="30" t="n">
        <f aca="false">IF(Quote!$B25="",0,Quote!$F25*INDEX(Pricelist!$I$5:$I$123,MATCH(Quote!$B25,Pricelist!$E$5:$E$123,0)))</f>
        <v>0</v>
      </c>
      <c r="G23" s="30" t="n">
        <f aca="false">IF(Quote!$B25="",0,Quote!$F25*INDEX(Pricelist!$J$5:$J$123,MATCH(Quote!$B25,Pricelist!$E$5:$E$123,0)))</f>
        <v>0</v>
      </c>
      <c r="H23" s="30" t="n">
        <f aca="false">IF(Quote!$B25="",0,Quote!$F25*INDEX(Pricelist!$K$5:$K$123,MATCH(Quote!$B25,Pricelist!$E$5:$E$123,0)))</f>
        <v>0</v>
      </c>
      <c r="I23" s="30" t="n">
        <f aca="false">IF(Quote!$B25="",0,Quote!$F25*INDEX(Pricelist!$L$5:$L$123,MATCH(Quote!$B25,Pricelist!$E$5:$E$123,0)))</f>
        <v>0</v>
      </c>
      <c r="J23" s="30" t="n">
        <f aca="false">IF(Quote!$B25="",0,Quote!$F25*INDEX(Pricelist!$M$5:$M$123,MATCH(Quote!$B25,Pricelist!$E$5:$E$123,0)))</f>
        <v>0</v>
      </c>
      <c r="K23" s="30" t="n">
        <f aca="false">IF(Quote!$B25="",0,Quote!$F25*INDEX(Pricelist!$N$5:$N$123,MATCH(Quote!$B25,Pricelist!$E$5:$E$123,0)))</f>
        <v>0</v>
      </c>
    </row>
    <row r="24" customFormat="false" ht="15" hidden="false" customHeight="false" outlineLevel="0" collapsed="false">
      <c r="A24" s="2" t="n">
        <v>19</v>
      </c>
      <c r="B24" s="2" t="n">
        <f aca="false">Quote!B26</f>
        <v>0</v>
      </c>
      <c r="C24" s="18" t="str">
        <f aca="false">IF(Quote!B26="","",Quote!F26)</f>
        <v/>
      </c>
      <c r="D24" s="30" t="n">
        <f aca="false">IF(Quote!$B26="",0,Quote!$F26*INDEX(Pricelist!$G$5:$G$123,MATCH(Quote!$B26,Pricelist!$E$5:$E$123,0)))</f>
        <v>0</v>
      </c>
      <c r="E24" s="30" t="n">
        <f aca="false">IF(Quote!$B26="",0,Quote!$F26*INDEX(Pricelist!$H$5:$H$123,MATCH(Quote!$B26,Pricelist!$E$5:$E$123,0)))</f>
        <v>0</v>
      </c>
      <c r="F24" s="30" t="n">
        <f aca="false">IF(Quote!$B26="",0,Quote!$F26*INDEX(Pricelist!$I$5:$I$123,MATCH(Quote!$B26,Pricelist!$E$5:$E$123,0)))</f>
        <v>0</v>
      </c>
      <c r="G24" s="30" t="n">
        <f aca="false">IF(Quote!$B26="",0,Quote!$F26*INDEX(Pricelist!$J$5:$J$123,MATCH(Quote!$B26,Pricelist!$E$5:$E$123,0)))</f>
        <v>0</v>
      </c>
      <c r="H24" s="30" t="n">
        <f aca="false">IF(Quote!$B26="",0,Quote!$F26*INDEX(Pricelist!$K$5:$K$123,MATCH(Quote!$B26,Pricelist!$E$5:$E$123,0)))</f>
        <v>0</v>
      </c>
      <c r="I24" s="30" t="n">
        <f aca="false">IF(Quote!$B26="",0,Quote!$F26*INDEX(Pricelist!$L$5:$L$123,MATCH(Quote!$B26,Pricelist!$E$5:$E$123,0)))</f>
        <v>0</v>
      </c>
      <c r="J24" s="30" t="n">
        <f aca="false">IF(Quote!$B26="",0,Quote!$F26*INDEX(Pricelist!$M$5:$M$123,MATCH(Quote!$B26,Pricelist!$E$5:$E$123,0)))</f>
        <v>0</v>
      </c>
      <c r="K24" s="30" t="n">
        <f aca="false">IF(Quote!$B26="",0,Quote!$F26*INDEX(Pricelist!$N$5:$N$123,MATCH(Quote!$B26,Pricelist!$E$5:$E$123,0)))</f>
        <v>0</v>
      </c>
    </row>
    <row r="25" customFormat="false" ht="15" hidden="false" customHeight="false" outlineLevel="0" collapsed="false">
      <c r="A25" s="2" t="n">
        <v>20</v>
      </c>
      <c r="B25" s="2" t="n">
        <f aca="false">Quote!B27</f>
        <v>0</v>
      </c>
      <c r="C25" s="18" t="str">
        <f aca="false">IF(Quote!B27="","",Quote!F27)</f>
        <v/>
      </c>
      <c r="D25" s="30" t="n">
        <f aca="false">IF(Quote!$B27="",0,Quote!$F27*INDEX(Pricelist!$G$5:$G$123,MATCH(Quote!$B27,Pricelist!$E$5:$E$123,0)))</f>
        <v>0</v>
      </c>
      <c r="E25" s="30" t="n">
        <f aca="false">IF(Quote!$B27="",0,Quote!$F27*INDEX(Pricelist!$H$5:$H$123,MATCH(Quote!$B27,Pricelist!$E$5:$E$123,0)))</f>
        <v>0</v>
      </c>
      <c r="F25" s="30" t="n">
        <f aca="false">IF(Quote!$B27="",0,Quote!$F27*INDEX(Pricelist!$I$5:$I$123,MATCH(Quote!$B27,Pricelist!$E$5:$E$123,0)))</f>
        <v>0</v>
      </c>
      <c r="G25" s="30" t="n">
        <f aca="false">IF(Quote!$B27="",0,Quote!$F27*INDEX(Pricelist!$J$5:$J$123,MATCH(Quote!$B27,Pricelist!$E$5:$E$123,0)))</f>
        <v>0</v>
      </c>
      <c r="H25" s="30" t="n">
        <f aca="false">IF(Quote!$B27="",0,Quote!$F27*INDEX(Pricelist!$K$5:$K$123,MATCH(Quote!$B27,Pricelist!$E$5:$E$123,0)))</f>
        <v>0</v>
      </c>
      <c r="I25" s="30" t="n">
        <f aca="false">IF(Quote!$B27="",0,Quote!$F27*INDEX(Pricelist!$L$5:$L$123,MATCH(Quote!$B27,Pricelist!$E$5:$E$123,0)))</f>
        <v>0</v>
      </c>
      <c r="J25" s="30" t="n">
        <f aca="false">IF(Quote!$B27="",0,Quote!$F27*INDEX(Pricelist!$M$5:$M$123,MATCH(Quote!$B27,Pricelist!$E$5:$E$123,0)))</f>
        <v>0</v>
      </c>
      <c r="K25" s="30" t="n">
        <f aca="false">IF(Quote!$B27="",0,Quote!$F27*INDEX(Pricelist!$N$5:$N$123,MATCH(Quote!$B27,Pricelist!$E$5:$E$123,0)))</f>
        <v>0</v>
      </c>
    </row>
    <row r="26" customFormat="false" ht="15" hidden="false" customHeight="false" outlineLevel="0" collapsed="false">
      <c r="A26" s="2" t="n">
        <v>21</v>
      </c>
      <c r="B26" s="2" t="n">
        <f aca="false">Quote!B28</f>
        <v>0</v>
      </c>
      <c r="C26" s="18" t="str">
        <f aca="false">IF(Quote!B28="","",Quote!F28)</f>
        <v/>
      </c>
      <c r="D26" s="30" t="n">
        <f aca="false">IF(Quote!$B28="",0,Quote!$F28*INDEX(Pricelist!$G$5:$G$123,MATCH(Quote!$B28,Pricelist!$E$5:$E$123,0)))</f>
        <v>0</v>
      </c>
      <c r="E26" s="30" t="n">
        <f aca="false">IF(Quote!$B28="",0,Quote!$F28*INDEX(Pricelist!$H$5:$H$123,MATCH(Quote!$B28,Pricelist!$E$5:$E$123,0)))</f>
        <v>0</v>
      </c>
      <c r="F26" s="30" t="n">
        <f aca="false">IF(Quote!$B28="",0,Quote!$F28*INDEX(Pricelist!$I$5:$I$123,MATCH(Quote!$B28,Pricelist!$E$5:$E$123,0)))</f>
        <v>0</v>
      </c>
      <c r="G26" s="30" t="n">
        <f aca="false">IF(Quote!$B28="",0,Quote!$F28*INDEX(Pricelist!$J$5:$J$123,MATCH(Quote!$B28,Pricelist!$E$5:$E$123,0)))</f>
        <v>0</v>
      </c>
      <c r="H26" s="30" t="n">
        <f aca="false">IF(Quote!$B28="",0,Quote!$F28*INDEX(Pricelist!$K$5:$K$123,MATCH(Quote!$B28,Pricelist!$E$5:$E$123,0)))</f>
        <v>0</v>
      </c>
      <c r="I26" s="30" t="n">
        <f aca="false">IF(Quote!$B28="",0,Quote!$F28*INDEX(Pricelist!$L$5:$L$123,MATCH(Quote!$B28,Pricelist!$E$5:$E$123,0)))</f>
        <v>0</v>
      </c>
      <c r="J26" s="30" t="n">
        <f aca="false">IF(Quote!$B28="",0,Quote!$F28*INDEX(Pricelist!$M$5:$M$123,MATCH(Quote!$B28,Pricelist!$E$5:$E$123,0)))</f>
        <v>0</v>
      </c>
      <c r="K26" s="30" t="n">
        <f aca="false">IF(Quote!$B28="",0,Quote!$F28*INDEX(Pricelist!$N$5:$N$123,MATCH(Quote!$B28,Pricelist!$E$5:$E$123,0)))</f>
        <v>0</v>
      </c>
    </row>
    <row r="27" customFormat="false" ht="15" hidden="false" customHeight="false" outlineLevel="0" collapsed="false">
      <c r="A27" s="2" t="n">
        <v>22</v>
      </c>
      <c r="B27" s="2" t="n">
        <f aca="false">Quote!B29</f>
        <v>0</v>
      </c>
      <c r="C27" s="18" t="str">
        <f aca="false">IF(Quote!B29="","",Quote!F29)</f>
        <v/>
      </c>
      <c r="D27" s="30" t="n">
        <f aca="false">IF(Quote!$B29="",0,Quote!$F29*INDEX(Pricelist!$G$5:$G$123,MATCH(Quote!$B29,Pricelist!$E$5:$E$123,0)))</f>
        <v>0</v>
      </c>
      <c r="E27" s="30" t="n">
        <f aca="false">IF(Quote!$B29="",0,Quote!$F29*INDEX(Pricelist!$H$5:$H$123,MATCH(Quote!$B29,Pricelist!$E$5:$E$123,0)))</f>
        <v>0</v>
      </c>
      <c r="F27" s="30" t="n">
        <f aca="false">IF(Quote!$B29="",0,Quote!$F29*INDEX(Pricelist!$I$5:$I$123,MATCH(Quote!$B29,Pricelist!$E$5:$E$123,0)))</f>
        <v>0</v>
      </c>
      <c r="G27" s="30" t="n">
        <f aca="false">IF(Quote!$B29="",0,Quote!$F29*INDEX(Pricelist!$J$5:$J$123,MATCH(Quote!$B29,Pricelist!$E$5:$E$123,0)))</f>
        <v>0</v>
      </c>
      <c r="H27" s="30" t="n">
        <f aca="false">IF(Quote!$B29="",0,Quote!$F29*INDEX(Pricelist!$K$5:$K$123,MATCH(Quote!$B29,Pricelist!$E$5:$E$123,0)))</f>
        <v>0</v>
      </c>
      <c r="I27" s="30" t="n">
        <f aca="false">IF(Quote!$B29="",0,Quote!$F29*INDEX(Pricelist!$L$5:$L$123,MATCH(Quote!$B29,Pricelist!$E$5:$E$123,0)))</f>
        <v>0</v>
      </c>
      <c r="J27" s="30" t="n">
        <f aca="false">IF(Quote!$B29="",0,Quote!$F29*INDEX(Pricelist!$M$5:$M$123,MATCH(Quote!$B29,Pricelist!$E$5:$E$123,0)))</f>
        <v>0</v>
      </c>
      <c r="K27" s="30" t="n">
        <f aca="false">IF(Quote!$B29="",0,Quote!$F29*INDEX(Pricelist!$N$5:$N$123,MATCH(Quote!$B29,Pricelist!$E$5:$E$123,0)))</f>
        <v>0</v>
      </c>
    </row>
    <row r="28" customFormat="false" ht="15" hidden="false" customHeight="false" outlineLevel="0" collapsed="false">
      <c r="A28" s="2" t="n">
        <v>23</v>
      </c>
      <c r="B28" s="2" t="n">
        <f aca="false">Quote!B30</f>
        <v>0</v>
      </c>
      <c r="C28" s="18" t="str">
        <f aca="false">IF(Quote!B30="","",Quote!F30)</f>
        <v/>
      </c>
      <c r="D28" s="30" t="n">
        <f aca="false">IF(Quote!$B30="",0,Quote!$F30*INDEX(Pricelist!$G$5:$G$123,MATCH(Quote!$B30,Pricelist!$E$5:$E$123,0)))</f>
        <v>0</v>
      </c>
      <c r="E28" s="30" t="n">
        <f aca="false">IF(Quote!$B30="",0,Quote!$F30*INDEX(Pricelist!$H$5:$H$123,MATCH(Quote!$B30,Pricelist!$E$5:$E$123,0)))</f>
        <v>0</v>
      </c>
      <c r="F28" s="30" t="n">
        <f aca="false">IF(Quote!$B30="",0,Quote!$F30*INDEX(Pricelist!$I$5:$I$123,MATCH(Quote!$B30,Pricelist!$E$5:$E$123,0)))</f>
        <v>0</v>
      </c>
      <c r="G28" s="30" t="n">
        <f aca="false">IF(Quote!$B30="",0,Quote!$F30*INDEX(Pricelist!$J$5:$J$123,MATCH(Quote!$B30,Pricelist!$E$5:$E$123,0)))</f>
        <v>0</v>
      </c>
      <c r="H28" s="30" t="n">
        <f aca="false">IF(Quote!$B30="",0,Quote!$F30*INDEX(Pricelist!$K$5:$K$123,MATCH(Quote!$B30,Pricelist!$E$5:$E$123,0)))</f>
        <v>0</v>
      </c>
      <c r="I28" s="30" t="n">
        <f aca="false">IF(Quote!$B30="",0,Quote!$F30*INDEX(Pricelist!$L$5:$L$123,MATCH(Quote!$B30,Pricelist!$E$5:$E$123,0)))</f>
        <v>0</v>
      </c>
      <c r="J28" s="30" t="n">
        <f aca="false">IF(Quote!$B30="",0,Quote!$F30*INDEX(Pricelist!$M$5:$M$123,MATCH(Quote!$B30,Pricelist!$E$5:$E$123,0)))</f>
        <v>0</v>
      </c>
      <c r="K28" s="30" t="n">
        <f aca="false">IF(Quote!$B30="",0,Quote!$F30*INDEX(Pricelist!$N$5:$N$123,MATCH(Quote!$B30,Pricelist!$E$5:$E$123,0)))</f>
        <v>0</v>
      </c>
    </row>
    <row r="29" customFormat="false" ht="15" hidden="false" customHeight="false" outlineLevel="0" collapsed="false">
      <c r="A29" s="2" t="n">
        <v>24</v>
      </c>
      <c r="B29" s="2" t="n">
        <f aca="false">Quote!B31</f>
        <v>0</v>
      </c>
      <c r="C29" s="18" t="str">
        <f aca="false">IF(Quote!B31="","",Quote!F31)</f>
        <v/>
      </c>
      <c r="D29" s="30" t="n">
        <f aca="false">IF(Quote!$B31="",0,Quote!$F31*INDEX(Pricelist!$G$5:$G$123,MATCH(Quote!$B31,Pricelist!$E$5:$E$123,0)))</f>
        <v>0</v>
      </c>
      <c r="E29" s="30" t="n">
        <f aca="false">IF(Quote!$B31="",0,Quote!$F31*INDEX(Pricelist!$H$5:$H$123,MATCH(Quote!$B31,Pricelist!$E$5:$E$123,0)))</f>
        <v>0</v>
      </c>
      <c r="F29" s="30" t="n">
        <f aca="false">IF(Quote!$B31="",0,Quote!$F31*INDEX(Pricelist!$I$5:$I$123,MATCH(Quote!$B31,Pricelist!$E$5:$E$123,0)))</f>
        <v>0</v>
      </c>
      <c r="G29" s="30" t="n">
        <f aca="false">IF(Quote!$B31="",0,Quote!$F31*INDEX(Pricelist!$J$5:$J$123,MATCH(Quote!$B31,Pricelist!$E$5:$E$123,0)))</f>
        <v>0</v>
      </c>
      <c r="H29" s="30" t="n">
        <f aca="false">IF(Quote!$B31="",0,Quote!$F31*INDEX(Pricelist!$K$5:$K$123,MATCH(Quote!$B31,Pricelist!$E$5:$E$123,0)))</f>
        <v>0</v>
      </c>
      <c r="I29" s="30" t="n">
        <f aca="false">IF(Quote!$B31="",0,Quote!$F31*INDEX(Pricelist!$L$5:$L$123,MATCH(Quote!$B31,Pricelist!$E$5:$E$123,0)))</f>
        <v>0</v>
      </c>
      <c r="J29" s="30" t="n">
        <f aca="false">IF(Quote!$B31="",0,Quote!$F31*INDEX(Pricelist!$M$5:$M$123,MATCH(Quote!$B31,Pricelist!$E$5:$E$123,0)))</f>
        <v>0</v>
      </c>
      <c r="K29" s="30" t="n">
        <f aca="false">IF(Quote!$B31="",0,Quote!$F31*INDEX(Pricelist!$N$5:$N$123,MATCH(Quote!$B31,Pricelist!$E$5:$E$123,0)))</f>
        <v>0</v>
      </c>
    </row>
    <row r="30" customFormat="false" ht="15" hidden="false" customHeight="false" outlineLevel="0" collapsed="false">
      <c r="A30" s="2" t="n">
        <v>25</v>
      </c>
      <c r="B30" s="2" t="n">
        <f aca="false">Quote!B32</f>
        <v>0</v>
      </c>
      <c r="C30" s="18" t="str">
        <f aca="false">IF(Quote!B32="","",Quote!F32)</f>
        <v/>
      </c>
      <c r="D30" s="30" t="n">
        <f aca="false">IF(Quote!$B32="",0,Quote!$F32*INDEX(Pricelist!$G$5:$G$123,MATCH(Quote!$B32,Pricelist!$E$5:$E$123,0)))</f>
        <v>0</v>
      </c>
      <c r="E30" s="30" t="n">
        <f aca="false">IF(Quote!$B32="",0,Quote!$F32*INDEX(Pricelist!$H$5:$H$123,MATCH(Quote!$B32,Pricelist!$E$5:$E$123,0)))</f>
        <v>0</v>
      </c>
      <c r="F30" s="30" t="n">
        <f aca="false">IF(Quote!$B32="",0,Quote!$F32*INDEX(Pricelist!$I$5:$I$123,MATCH(Quote!$B32,Pricelist!$E$5:$E$123,0)))</f>
        <v>0</v>
      </c>
      <c r="G30" s="30" t="n">
        <f aca="false">IF(Quote!$B32="",0,Quote!$F32*INDEX(Pricelist!$J$5:$J$123,MATCH(Quote!$B32,Pricelist!$E$5:$E$123,0)))</f>
        <v>0</v>
      </c>
      <c r="H30" s="30" t="n">
        <f aca="false">IF(Quote!$B32="",0,Quote!$F32*INDEX(Pricelist!$K$5:$K$123,MATCH(Quote!$B32,Pricelist!$E$5:$E$123,0)))</f>
        <v>0</v>
      </c>
      <c r="I30" s="30" t="n">
        <f aca="false">IF(Quote!$B32="",0,Quote!$F32*INDEX(Pricelist!$L$5:$L$123,MATCH(Quote!$B32,Pricelist!$E$5:$E$123,0)))</f>
        <v>0</v>
      </c>
      <c r="J30" s="30" t="n">
        <f aca="false">IF(Quote!$B32="",0,Quote!$F32*INDEX(Pricelist!$M$5:$M$123,MATCH(Quote!$B32,Pricelist!$E$5:$E$123,0)))</f>
        <v>0</v>
      </c>
      <c r="K30" s="30" t="n">
        <f aca="false">IF(Quote!$B32="",0,Quote!$F32*INDEX(Pricelist!$N$5:$N$123,MATCH(Quote!$B32,Pricelist!$E$5:$E$123,0)))</f>
        <v>0</v>
      </c>
    </row>
    <row r="31" customFormat="false" ht="15" hidden="false" customHeight="false" outlineLevel="0" collapsed="false">
      <c r="A31" s="2" t="n">
        <v>26</v>
      </c>
      <c r="B31" s="2" t="n">
        <f aca="false">Quote!B33</f>
        <v>0</v>
      </c>
      <c r="C31" s="18" t="str">
        <f aca="false">IF(Quote!B33="","",Quote!F33)</f>
        <v/>
      </c>
      <c r="D31" s="30" t="n">
        <f aca="false">IF(Quote!$B33="",0,Quote!$F33*INDEX(Pricelist!$G$5:$G$123,MATCH(Quote!$B33,Pricelist!$E$5:$E$123,0)))</f>
        <v>0</v>
      </c>
      <c r="E31" s="30" t="n">
        <f aca="false">IF(Quote!$B33="",0,Quote!$F33*INDEX(Pricelist!$H$5:$H$123,MATCH(Quote!$B33,Pricelist!$E$5:$E$123,0)))</f>
        <v>0</v>
      </c>
      <c r="F31" s="30" t="n">
        <f aca="false">IF(Quote!$B33="",0,Quote!$F33*INDEX(Pricelist!$I$5:$I$123,MATCH(Quote!$B33,Pricelist!$E$5:$E$123,0)))</f>
        <v>0</v>
      </c>
      <c r="G31" s="30" t="n">
        <f aca="false">IF(Quote!$B33="",0,Quote!$F33*INDEX(Pricelist!$J$5:$J$123,MATCH(Quote!$B33,Pricelist!$E$5:$E$123,0)))</f>
        <v>0</v>
      </c>
      <c r="H31" s="30" t="n">
        <f aca="false">IF(Quote!$B33="",0,Quote!$F33*INDEX(Pricelist!$K$5:$K$123,MATCH(Quote!$B33,Pricelist!$E$5:$E$123,0)))</f>
        <v>0</v>
      </c>
      <c r="I31" s="30" t="n">
        <f aca="false">IF(Quote!$B33="",0,Quote!$F33*INDEX(Pricelist!$L$5:$L$123,MATCH(Quote!$B33,Pricelist!$E$5:$E$123,0)))</f>
        <v>0</v>
      </c>
      <c r="J31" s="30" t="n">
        <f aca="false">IF(Quote!$B33="",0,Quote!$F33*INDEX(Pricelist!$M$5:$M$123,MATCH(Quote!$B33,Pricelist!$E$5:$E$123,0)))</f>
        <v>0</v>
      </c>
      <c r="K31" s="30" t="n">
        <f aca="false">IF(Quote!$B33="",0,Quote!$F33*INDEX(Pricelist!$N$5:$N$123,MATCH(Quote!$B33,Pricelist!$E$5:$E$123,0)))</f>
        <v>0</v>
      </c>
    </row>
    <row r="32" customFormat="false" ht="15" hidden="false" customHeight="false" outlineLevel="0" collapsed="false">
      <c r="A32" s="2" t="n">
        <v>27</v>
      </c>
      <c r="B32" s="2" t="n">
        <f aca="false">Quote!B34</f>
        <v>0</v>
      </c>
      <c r="C32" s="18" t="str">
        <f aca="false">IF(Quote!B34="","",Quote!F34)</f>
        <v/>
      </c>
      <c r="D32" s="30" t="n">
        <f aca="false">IF(Quote!$B34="",0,Quote!$F34*INDEX(Pricelist!$G$5:$G$123,MATCH(Quote!$B34,Pricelist!$E$5:$E$123,0)))</f>
        <v>0</v>
      </c>
      <c r="E32" s="30" t="n">
        <f aca="false">IF(Quote!$B34="",0,Quote!$F34*INDEX(Pricelist!$H$5:$H$123,MATCH(Quote!$B34,Pricelist!$E$5:$E$123,0)))</f>
        <v>0</v>
      </c>
      <c r="F32" s="30" t="n">
        <f aca="false">IF(Quote!$B34="",0,Quote!$F34*INDEX(Pricelist!$I$5:$I$123,MATCH(Quote!$B34,Pricelist!$E$5:$E$123,0)))</f>
        <v>0</v>
      </c>
      <c r="G32" s="30" t="n">
        <f aca="false">IF(Quote!$B34="",0,Quote!$F34*INDEX(Pricelist!$J$5:$J$123,MATCH(Quote!$B34,Pricelist!$E$5:$E$123,0)))</f>
        <v>0</v>
      </c>
      <c r="H32" s="30" t="n">
        <f aca="false">IF(Quote!$B34="",0,Quote!$F34*INDEX(Pricelist!$K$5:$K$123,MATCH(Quote!$B34,Pricelist!$E$5:$E$123,0)))</f>
        <v>0</v>
      </c>
      <c r="I32" s="30" t="n">
        <f aca="false">IF(Quote!$B34="",0,Quote!$F34*INDEX(Pricelist!$L$5:$L$123,MATCH(Quote!$B34,Pricelist!$E$5:$E$123,0)))</f>
        <v>0</v>
      </c>
      <c r="J32" s="30" t="n">
        <f aca="false">IF(Quote!$B34="",0,Quote!$F34*INDEX(Pricelist!$M$5:$M$123,MATCH(Quote!$B34,Pricelist!$E$5:$E$123,0)))</f>
        <v>0</v>
      </c>
      <c r="K32" s="30" t="n">
        <f aca="false">IF(Quote!$B34="",0,Quote!$F34*INDEX(Pricelist!$N$5:$N$123,MATCH(Quote!$B34,Pricelist!$E$5:$E$123,0)))</f>
        <v>0</v>
      </c>
    </row>
    <row r="33" customFormat="false" ht="15" hidden="false" customHeight="false" outlineLevel="0" collapsed="false">
      <c r="A33" s="2" t="n">
        <v>28</v>
      </c>
      <c r="B33" s="2" t="n">
        <f aca="false">Quote!B35</f>
        <v>0</v>
      </c>
      <c r="C33" s="18" t="str">
        <f aca="false">IF(Quote!B35="","",Quote!F35)</f>
        <v/>
      </c>
      <c r="D33" s="30" t="n">
        <f aca="false">IF(Quote!$B35="",0,Quote!$F35*INDEX(Pricelist!$G$5:$G$123,MATCH(Quote!$B35,Pricelist!$E$5:$E$123,0)))</f>
        <v>0</v>
      </c>
      <c r="E33" s="30" t="n">
        <f aca="false">IF(Quote!$B35="",0,Quote!$F35*INDEX(Pricelist!$H$5:$H$123,MATCH(Quote!$B35,Pricelist!$E$5:$E$123,0)))</f>
        <v>0</v>
      </c>
      <c r="F33" s="30" t="n">
        <f aca="false">IF(Quote!$B35="",0,Quote!$F35*INDEX(Pricelist!$I$5:$I$123,MATCH(Quote!$B35,Pricelist!$E$5:$E$123,0)))</f>
        <v>0</v>
      </c>
      <c r="G33" s="30" t="n">
        <f aca="false">IF(Quote!$B35="",0,Quote!$F35*INDEX(Pricelist!$J$5:$J$123,MATCH(Quote!$B35,Pricelist!$E$5:$E$123,0)))</f>
        <v>0</v>
      </c>
      <c r="H33" s="30" t="n">
        <f aca="false">IF(Quote!$B35="",0,Quote!$F35*INDEX(Pricelist!$K$5:$K$123,MATCH(Quote!$B35,Pricelist!$E$5:$E$123,0)))</f>
        <v>0</v>
      </c>
      <c r="I33" s="30" t="n">
        <f aca="false">IF(Quote!$B35="",0,Quote!$F35*INDEX(Pricelist!$L$5:$L$123,MATCH(Quote!$B35,Pricelist!$E$5:$E$123,0)))</f>
        <v>0</v>
      </c>
      <c r="J33" s="30" t="n">
        <f aca="false">IF(Quote!$B35="",0,Quote!$F35*INDEX(Pricelist!$M$5:$M$123,MATCH(Quote!$B35,Pricelist!$E$5:$E$123,0)))</f>
        <v>0</v>
      </c>
      <c r="K33" s="30" t="n">
        <f aca="false">IF(Quote!$B35="",0,Quote!$F35*INDEX(Pricelist!$N$5:$N$123,MATCH(Quote!$B35,Pricelist!$E$5:$E$123,0)))</f>
        <v>0</v>
      </c>
    </row>
    <row r="34" customFormat="false" ht="15" hidden="false" customHeight="false" outlineLevel="0" collapsed="false">
      <c r="A34" s="2" t="n">
        <v>29</v>
      </c>
      <c r="B34" s="2" t="n">
        <f aca="false">Quote!B36</f>
        <v>0</v>
      </c>
      <c r="C34" s="18" t="str">
        <f aca="false">IF(Quote!B36="","",Quote!F36)</f>
        <v/>
      </c>
      <c r="D34" s="30" t="n">
        <f aca="false">IF(Quote!$B36="",0,Quote!$F36*INDEX(Pricelist!$G$5:$G$123,MATCH(Quote!$B36,Pricelist!$E$5:$E$123,0)))</f>
        <v>0</v>
      </c>
      <c r="E34" s="30" t="n">
        <f aca="false">IF(Quote!$B36="",0,Quote!$F36*INDEX(Pricelist!$H$5:$H$123,MATCH(Quote!$B36,Pricelist!$E$5:$E$123,0)))</f>
        <v>0</v>
      </c>
      <c r="F34" s="30" t="n">
        <f aca="false">IF(Quote!$B36="",0,Quote!$F36*INDEX(Pricelist!$I$5:$I$123,MATCH(Quote!$B36,Pricelist!$E$5:$E$123,0)))</f>
        <v>0</v>
      </c>
      <c r="G34" s="30" t="n">
        <f aca="false">IF(Quote!$B36="",0,Quote!$F36*INDEX(Pricelist!$J$5:$J$123,MATCH(Quote!$B36,Pricelist!$E$5:$E$123,0)))</f>
        <v>0</v>
      </c>
      <c r="H34" s="30" t="n">
        <f aca="false">IF(Quote!$B36="",0,Quote!$F36*INDEX(Pricelist!$K$5:$K$123,MATCH(Quote!$B36,Pricelist!$E$5:$E$123,0)))</f>
        <v>0</v>
      </c>
      <c r="I34" s="30" t="n">
        <f aca="false">IF(Quote!$B36="",0,Quote!$F36*INDEX(Pricelist!$L$5:$L$123,MATCH(Quote!$B36,Pricelist!$E$5:$E$123,0)))</f>
        <v>0</v>
      </c>
      <c r="J34" s="30" t="n">
        <f aca="false">IF(Quote!$B36="",0,Quote!$F36*INDEX(Pricelist!$M$5:$M$123,MATCH(Quote!$B36,Pricelist!$E$5:$E$123,0)))</f>
        <v>0</v>
      </c>
      <c r="K34" s="30" t="n">
        <f aca="false">IF(Quote!$B36="",0,Quote!$F36*INDEX(Pricelist!$N$5:$N$123,MATCH(Quote!$B36,Pricelist!$E$5:$E$123,0)))</f>
        <v>0</v>
      </c>
    </row>
    <row r="35" customFormat="false" ht="15" hidden="false" customHeight="false" outlineLevel="0" collapsed="false">
      <c r="A35" s="2" t="n">
        <v>30</v>
      </c>
      <c r="B35" s="2" t="n">
        <f aca="false">Quote!B37</f>
        <v>0</v>
      </c>
      <c r="C35" s="18" t="str">
        <f aca="false">IF(Quote!B37="","",Quote!F37)</f>
        <v/>
      </c>
      <c r="D35" s="30" t="n">
        <f aca="false">IF(Quote!$B37="",0,Quote!$F37*INDEX(Pricelist!$G$5:$G$123,MATCH(Quote!$B37,Pricelist!$E$5:$E$123,0)))</f>
        <v>0</v>
      </c>
      <c r="E35" s="30" t="n">
        <f aca="false">IF(Quote!$B37="",0,Quote!$F37*INDEX(Pricelist!$H$5:$H$123,MATCH(Quote!$B37,Pricelist!$E$5:$E$123,0)))</f>
        <v>0</v>
      </c>
      <c r="F35" s="30" t="n">
        <f aca="false">IF(Quote!$B37="",0,Quote!$F37*INDEX(Pricelist!$I$5:$I$123,MATCH(Quote!$B37,Pricelist!$E$5:$E$123,0)))</f>
        <v>0</v>
      </c>
      <c r="G35" s="30" t="n">
        <f aca="false">IF(Quote!$B37="",0,Quote!$F37*INDEX(Pricelist!$J$5:$J$123,MATCH(Quote!$B37,Pricelist!$E$5:$E$123,0)))</f>
        <v>0</v>
      </c>
      <c r="H35" s="30" t="n">
        <f aca="false">IF(Quote!$B37="",0,Quote!$F37*INDEX(Pricelist!$K$5:$K$123,MATCH(Quote!$B37,Pricelist!$E$5:$E$123,0)))</f>
        <v>0</v>
      </c>
      <c r="I35" s="30" t="n">
        <f aca="false">IF(Quote!$B37="",0,Quote!$F37*INDEX(Pricelist!$L$5:$L$123,MATCH(Quote!$B37,Pricelist!$E$5:$E$123,0)))</f>
        <v>0</v>
      </c>
      <c r="J35" s="30" t="n">
        <f aca="false">IF(Quote!$B37="",0,Quote!$F37*INDEX(Pricelist!$M$5:$M$123,MATCH(Quote!$B37,Pricelist!$E$5:$E$123,0)))</f>
        <v>0</v>
      </c>
      <c r="K35" s="30" t="n">
        <f aca="false">IF(Quote!$B37="",0,Quote!$F37*INDEX(Pricelist!$N$5:$N$123,MATCH(Quote!$B37,Pricelist!$E$5:$E$123,0)))</f>
        <v>0</v>
      </c>
    </row>
    <row r="36" customFormat="false" ht="15" hidden="false" customHeight="false" outlineLevel="0" collapsed="false">
      <c r="A36" s="2"/>
      <c r="B36" s="4" t="s">
        <v>368</v>
      </c>
      <c r="C36" s="2"/>
      <c r="D36" s="28" t="n">
        <f aca="false">SUM(D6:D35)</f>
        <v>907</v>
      </c>
      <c r="E36" s="28" t="n">
        <f aca="false">SUM(E6:E35)</f>
        <v>850.31</v>
      </c>
      <c r="F36" s="28" t="n">
        <f aca="false">SUM(F6:F35)</f>
        <v>788.14</v>
      </c>
      <c r="G36" s="28" t="n">
        <f aca="false">SUM(G6:G35)</f>
        <v>707.66</v>
      </c>
      <c r="H36" s="28" t="n">
        <f aca="false">SUM(H6:H35)</f>
        <v>652.12</v>
      </c>
      <c r="I36" s="28" t="n">
        <f aca="false">SUM(I6:I35)</f>
        <v>623.73</v>
      </c>
      <c r="J36" s="28" t="n">
        <f aca="false">SUM(J6:J35)</f>
        <v>596.76</v>
      </c>
      <c r="K36" s="28" t="n">
        <f aca="false">SUM(K6:K35)</f>
        <v>584.56</v>
      </c>
    </row>
    <row r="37" customFormat="false" ht="15" hidden="false" customHeight="false" outlineLevel="0" collapsed="false">
      <c r="A37" s="2"/>
      <c r="B37" s="3" t="s">
        <v>369</v>
      </c>
      <c r="C37" s="2"/>
      <c r="D37" s="31" t="n">
        <f aca="false">INDEX($D$36:$K$36,1,MATCH(Inputs!$B$16,$D$5:$K$5,0))-D36</f>
        <v>-118.86</v>
      </c>
      <c r="E37" s="31" t="n">
        <f aca="false">INDEX($D$36:$K$36,1,MATCH(Inputs!$B$16,$D$5:$K$5,0))-E36</f>
        <v>-62.1699999999998</v>
      </c>
      <c r="F37" s="31" t="n">
        <f aca="false">INDEX($D$36:$K$36,1,MATCH(Inputs!$B$16,$D$5:$K$5,0))-F36</f>
        <v>0</v>
      </c>
      <c r="G37" s="31" t="n">
        <f aca="false">INDEX($D$36:$K$36,1,MATCH(Inputs!$B$16,$D$5:$K$5,0))-G36</f>
        <v>80.4800000000001</v>
      </c>
      <c r="H37" s="31" t="n">
        <f aca="false">INDEX($D$36:$K$36,1,MATCH(Inputs!$B$16,$D$5:$K$5,0))-H36</f>
        <v>136.02</v>
      </c>
      <c r="I37" s="31" t="n">
        <f aca="false">INDEX($D$36:$K$36,1,MATCH(Inputs!$B$16,$D$5:$K$5,0))-I36</f>
        <v>164.41</v>
      </c>
      <c r="J37" s="31" t="n">
        <f aca="false">INDEX($D$36:$K$36,1,MATCH(Inputs!$B$16,$D$5:$K$5,0))-J36</f>
        <v>191.38</v>
      </c>
      <c r="K37" s="31" t="n">
        <f aca="false">INDEX($D$36:$K$36,1,MATCH(Inputs!$B$16,$D$5:$K$5,0))-K36</f>
        <v>203.58</v>
      </c>
    </row>
    <row r="38" customFormat="false" ht="15" hidden="false" customHeight="false" outlineLevel="0" collapsed="false">
      <c r="A38" s="2"/>
      <c r="B38" s="3" t="s">
        <v>370</v>
      </c>
      <c r="C38" s="2"/>
      <c r="D38" s="32" t="n">
        <f aca="false">IF(INDEX($D$36:$K$36,1,MATCH(Inputs!$B$16,$D$5:$K$5,0))=0,0,D37/INDEX($D$36:$K$36,1,MATCH(Inputs!$B$16,$D$5:$K$5,0)))</f>
        <v>-0.150810769660213</v>
      </c>
      <c r="E38" s="32" t="n">
        <f aca="false">IF(INDEX($D$36:$K$36,1,MATCH(Inputs!$B$16,$D$5:$K$5,0))=0,0,E37/INDEX($D$36:$K$36,1,MATCH(Inputs!$B$16,$D$5:$K$5,0)))</f>
        <v>-0.0788819245311745</v>
      </c>
      <c r="F38" s="32" t="n">
        <f aca="false">IF(INDEX($D$36:$K$36,1,MATCH(Inputs!$B$16,$D$5:$K$5,0))=0,0,F37/INDEX($D$36:$K$36,1,MATCH(Inputs!$B$16,$D$5:$K$5,0)))</f>
        <v>0</v>
      </c>
      <c r="G38" s="32" t="n">
        <f aca="false">IF(INDEX($D$36:$K$36,1,MATCH(Inputs!$B$16,$D$5:$K$5,0))=0,0,G37/INDEX($D$36:$K$36,1,MATCH(Inputs!$B$16,$D$5:$K$5,0)))</f>
        <v>0.102113837643059</v>
      </c>
      <c r="H38" s="32" t="n">
        <f aca="false">IF(INDEX($D$36:$K$36,1,MATCH(Inputs!$B$16,$D$5:$K$5,0))=0,0,H37/INDEX($D$36:$K$36,1,MATCH(Inputs!$B$16,$D$5:$K$5,0)))</f>
        <v>0.172583551145736</v>
      </c>
      <c r="I38" s="32" t="n">
        <f aca="false">IF(INDEX($D$36:$K$36,1,MATCH(Inputs!$B$16,$D$5:$K$5,0))=0,0,I37/INDEX($D$36:$K$36,1,MATCH(Inputs!$B$16,$D$5:$K$5,0)))</f>
        <v>0.208605070165199</v>
      </c>
      <c r="J38" s="32" t="n">
        <f aca="false">IF(INDEX($D$36:$K$36,1,MATCH(Inputs!$B$16,$D$5:$K$5,0))=0,0,J37/INDEX($D$36:$K$36,1,MATCH(Inputs!$B$16,$D$5:$K$5,0)))</f>
        <v>0.242824878828635</v>
      </c>
      <c r="K38" s="32" t="n">
        <f aca="false">IF(INDEX($D$36:$K$36,1,MATCH(Inputs!$B$16,$D$5:$K$5,0))=0,0,K37/INDEX($D$36:$K$36,1,MATCH(Inputs!$B$16,$D$5:$K$5,0)))</f>
        <v>0.258304362169158</v>
      </c>
    </row>
    <row r="39" customFormat="false" ht="15" hidden="false" customHeight="false" outlineLevel="0" collapsed="false">
      <c r="A39" s="2"/>
      <c r="B39" s="3" t="s">
        <v>371</v>
      </c>
      <c r="C39" s="2"/>
      <c r="D39" s="2" t="str">
        <f aca="false">IF(D5=Inputs!$B$16,"selected","")</f>
        <v/>
      </c>
      <c r="E39" s="2" t="str">
        <f aca="false">IF(E5=Inputs!$B$16,"selected","")</f>
        <v/>
      </c>
      <c r="F39" s="2" t="str">
        <f aca="false">IF(F5=Inputs!$B$16,"selected","")</f>
        <v>selected</v>
      </c>
      <c r="G39" s="2" t="str">
        <f aca="false">IF(G5=Inputs!$B$16,"selected","")</f>
        <v/>
      </c>
      <c r="H39" s="2" t="str">
        <f aca="false">IF(H5=Inputs!$B$16,"selected","")</f>
        <v/>
      </c>
      <c r="I39" s="2" t="str">
        <f aca="false">IF(I5=Inputs!$B$16,"selected","")</f>
        <v/>
      </c>
      <c r="J39" s="2" t="str">
        <f aca="false">IF(J5=Inputs!$B$16,"selected","")</f>
        <v/>
      </c>
      <c r="K39" s="2" t="str">
        <f aca="false">IF(K5=Inputs!$B$16,"selected","")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372</v>
      </c>
      <c r="B1" s="2"/>
      <c r="C1" s="2"/>
      <c r="D1" s="2"/>
    </row>
    <row r="2" customFormat="false" ht="15" hidden="false" customHeight="false" outlineLevel="0" collapsed="false">
      <c r="A2" s="2" t="str">
        <f aca="false">"Prepared for "&amp;Inputs!B10&amp;" · Reference "&amp;Inputs!B11&amp;" · "&amp;Inputs!B12</f>
        <v>Prepared for Example Trading Co. (illustrative) · Reference NS-ACR-2026-001 · 2026-10-01</v>
      </c>
      <c r="B2" s="2"/>
      <c r="C2" s="2"/>
      <c r="D2" s="2"/>
    </row>
    <row r="3" customFormat="false" ht="15" hidden="false" customHeight="false" outlineLevel="0" collapsed="false">
      <c r="A3" s="2" t="str">
        <f aca="false">"Currency "&amp;Inputs!B13&amp;" · USD reference rate "&amp;TEXT(Inputs!B14,"0.0000")&amp;" · VAT "&amp;TEXT(Inputs!B15,"0%")&amp;" shown separately · Valid "&amp;Inputs!B18&amp;" days"</f>
        <v>Currency SAR · USD reference rate 3.7500 · VAT 15% shown separately · Valid 90 days</v>
      </c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11" t="s">
        <v>373</v>
      </c>
      <c r="B5" s="11" t="s">
        <v>339</v>
      </c>
      <c r="C5" s="11" t="s">
        <v>374</v>
      </c>
      <c r="D5" s="11" t="s">
        <v>375</v>
      </c>
    </row>
    <row r="6" customFormat="false" ht="15" hidden="false" customHeight="false" outlineLevel="0" collapsed="false">
      <c r="A6" s="2" t="str">
        <f aca="false">IF(Quote!B8="","",Quote!B8)</f>
        <v>Ultimate Protection - WL - Server (3 TB of Acronis Hosted Storage included) - G2 - Acronis Cyber Protect Cloud</v>
      </c>
      <c r="B6" s="18" t="n">
        <f aca="false">IF(Quote!B8="","",Quote!F8)</f>
        <v>2</v>
      </c>
      <c r="C6" s="30" t="n">
        <f aca="false">IF(Quote!B8="","",Quote!M8)</f>
        <v>431.94</v>
      </c>
      <c r="D6" s="30" t="n">
        <f aca="false">IF(Quote!B8="","",Quote!O8)</f>
        <v>863.88</v>
      </c>
    </row>
    <row r="7" customFormat="false" ht="15" hidden="false" customHeight="false" outlineLevel="0" collapsed="false">
      <c r="A7" s="2" t="str">
        <f aca="false">IF(Quote!B9="","",Quote!B9)</f>
        <v>Ultimate Protection - WL - Workstation (300 GB of Acronis Hosted Storage included) - G2 - Acronis Cyber Protect Cloud</v>
      </c>
      <c r="B7" s="18" t="n">
        <f aca="false">IF(Quote!B9="","",Quote!F9)</f>
        <v>25</v>
      </c>
      <c r="C7" s="30" t="n">
        <f aca="false">IF(Quote!B9="","",Quote!M9)</f>
        <v>79.96</v>
      </c>
      <c r="D7" s="30" t="n">
        <f aca="false">IF(Quote!B9="","",Quote!O9)</f>
        <v>1999</v>
      </c>
    </row>
    <row r="8" customFormat="false" ht="15" hidden="false" customHeight="false" outlineLevel="0" collapsed="false">
      <c r="A8" s="2" t="str">
        <f aca="false">IF(Quote!B10="","",Quote!B10)</f>
        <v>Ultimate Protection - WL - Microsoft 365 seat (unlimited Acronis Hosted Cloud Storage included1) - G2 - Acronis Cyber Protect Cloud</v>
      </c>
      <c r="B8" s="18" t="n">
        <f aca="false">IF(Quote!B10="","",Quote!F10)</f>
        <v>30</v>
      </c>
      <c r="C8" s="30" t="n">
        <f aca="false">IF(Quote!B10="","",Quote!M10)</f>
        <v>48.98</v>
      </c>
      <c r="D8" s="30" t="n">
        <f aca="false">IF(Quote!B10="","",Quote!O10)</f>
        <v>1469.4</v>
      </c>
    </row>
    <row r="9" customFormat="false" ht="15" hidden="false" customHeight="false" outlineLevel="0" collapsed="false">
      <c r="A9" s="2" t="str">
        <f aca="false">IF(Quote!B11="","",Quote!B11)</f>
        <v>Solution-based Licensing - Security Awareness Training (per user) - Acronis Cyber Protect Cloud</v>
      </c>
      <c r="B9" s="18" t="n">
        <f aca="false">IF(Quote!B11="","",Quote!F11)</f>
        <v>30</v>
      </c>
      <c r="C9" s="30" t="n">
        <f aca="false">IF(Quote!B11="","",Quote!M11)</f>
        <v>7.15</v>
      </c>
      <c r="D9" s="30" t="n">
        <f aca="false">IF(Quote!B11="","",Quote!O11)</f>
        <v>214.5</v>
      </c>
    </row>
    <row r="10" customFormat="false" ht="15" hidden="false" customHeight="false" outlineLevel="0" collapsed="false">
      <c r="A10" s="2" t="str">
        <f aca="false">IF(Quote!B12="","",Quote!B12)</f>
        <v/>
      </c>
      <c r="B10" s="18" t="str">
        <f aca="false">IF(Quote!B12="","",Quote!F12)</f>
        <v/>
      </c>
      <c r="C10" s="30" t="str">
        <f aca="false">IF(Quote!B12="","",Quote!M12)</f>
        <v/>
      </c>
      <c r="D10" s="30" t="str">
        <f aca="false">IF(Quote!B12="","",Quote!O12)</f>
        <v/>
      </c>
    </row>
    <row r="11" customFormat="false" ht="15" hidden="false" customHeight="false" outlineLevel="0" collapsed="false">
      <c r="A11" s="2" t="str">
        <f aca="false">IF(Quote!B13="","",Quote!B13)</f>
        <v/>
      </c>
      <c r="B11" s="18" t="str">
        <f aca="false">IF(Quote!B13="","",Quote!F13)</f>
        <v/>
      </c>
      <c r="C11" s="30" t="str">
        <f aca="false">IF(Quote!B13="","",Quote!M13)</f>
        <v/>
      </c>
      <c r="D11" s="30" t="str">
        <f aca="false">IF(Quote!B13="","",Quote!O13)</f>
        <v/>
      </c>
    </row>
    <row r="12" customFormat="false" ht="15" hidden="false" customHeight="false" outlineLevel="0" collapsed="false">
      <c r="A12" s="2" t="str">
        <f aca="false">IF(Quote!B14="","",Quote!B14)</f>
        <v/>
      </c>
      <c r="B12" s="18" t="str">
        <f aca="false">IF(Quote!B14="","",Quote!F14)</f>
        <v/>
      </c>
      <c r="C12" s="30" t="str">
        <f aca="false">IF(Quote!B14="","",Quote!M14)</f>
        <v/>
      </c>
      <c r="D12" s="30" t="str">
        <f aca="false">IF(Quote!B14="","",Quote!O14)</f>
        <v/>
      </c>
    </row>
    <row r="13" customFormat="false" ht="15" hidden="false" customHeight="false" outlineLevel="0" collapsed="false">
      <c r="A13" s="2" t="str">
        <f aca="false">IF(Quote!B15="","",Quote!B15)</f>
        <v/>
      </c>
      <c r="B13" s="18" t="str">
        <f aca="false">IF(Quote!B15="","",Quote!F15)</f>
        <v/>
      </c>
      <c r="C13" s="30" t="str">
        <f aca="false">IF(Quote!B15="","",Quote!M15)</f>
        <v/>
      </c>
      <c r="D13" s="30" t="str">
        <f aca="false">IF(Quote!B15="","",Quote!O15)</f>
        <v/>
      </c>
    </row>
    <row r="14" customFormat="false" ht="15" hidden="false" customHeight="false" outlineLevel="0" collapsed="false">
      <c r="A14" s="2" t="str">
        <f aca="false">IF(Quote!B16="","",Quote!B16)</f>
        <v/>
      </c>
      <c r="B14" s="18" t="str">
        <f aca="false">IF(Quote!B16="","",Quote!F16)</f>
        <v/>
      </c>
      <c r="C14" s="30" t="str">
        <f aca="false">IF(Quote!B16="","",Quote!M16)</f>
        <v/>
      </c>
      <c r="D14" s="30" t="str">
        <f aca="false">IF(Quote!B16="","",Quote!O16)</f>
        <v/>
      </c>
    </row>
    <row r="15" customFormat="false" ht="15" hidden="false" customHeight="false" outlineLevel="0" collapsed="false">
      <c r="A15" s="2" t="str">
        <f aca="false">IF(Quote!B17="","",Quote!B17)</f>
        <v/>
      </c>
      <c r="B15" s="18" t="str">
        <f aca="false">IF(Quote!B17="","",Quote!F17)</f>
        <v/>
      </c>
      <c r="C15" s="30" t="str">
        <f aca="false">IF(Quote!B17="","",Quote!M17)</f>
        <v/>
      </c>
      <c r="D15" s="30" t="str">
        <f aca="false">IF(Quote!B17="","",Quote!O17)</f>
        <v/>
      </c>
    </row>
    <row r="16" customFormat="false" ht="15" hidden="false" customHeight="false" outlineLevel="0" collapsed="false">
      <c r="A16" s="2" t="str">
        <f aca="false">IF(Quote!B18="","",Quote!B18)</f>
        <v/>
      </c>
      <c r="B16" s="18" t="str">
        <f aca="false">IF(Quote!B18="","",Quote!F18)</f>
        <v/>
      </c>
      <c r="C16" s="30" t="str">
        <f aca="false">IF(Quote!B18="","",Quote!M18)</f>
        <v/>
      </c>
      <c r="D16" s="30" t="str">
        <f aca="false">IF(Quote!B18="","",Quote!O18)</f>
        <v/>
      </c>
    </row>
    <row r="17" customFormat="false" ht="15" hidden="false" customHeight="false" outlineLevel="0" collapsed="false">
      <c r="A17" s="2" t="str">
        <f aca="false">IF(Quote!B19="","",Quote!B19)</f>
        <v/>
      </c>
      <c r="B17" s="18" t="str">
        <f aca="false">IF(Quote!B19="","",Quote!F19)</f>
        <v/>
      </c>
      <c r="C17" s="30" t="str">
        <f aca="false">IF(Quote!B19="","",Quote!M19)</f>
        <v/>
      </c>
      <c r="D17" s="30" t="str">
        <f aca="false">IF(Quote!B19="","",Quote!O19)</f>
        <v/>
      </c>
    </row>
    <row r="18" customFormat="false" ht="15" hidden="false" customHeight="false" outlineLevel="0" collapsed="false">
      <c r="A18" s="2" t="str">
        <f aca="false">IF(Quote!B20="","",Quote!B20)</f>
        <v/>
      </c>
      <c r="B18" s="18" t="str">
        <f aca="false">IF(Quote!B20="","",Quote!F20)</f>
        <v/>
      </c>
      <c r="C18" s="30" t="str">
        <f aca="false">IF(Quote!B20="","",Quote!M20)</f>
        <v/>
      </c>
      <c r="D18" s="30" t="str">
        <f aca="false">IF(Quote!B20="","",Quote!O20)</f>
        <v/>
      </c>
    </row>
    <row r="19" customFormat="false" ht="15" hidden="false" customHeight="false" outlineLevel="0" collapsed="false">
      <c r="A19" s="2" t="str">
        <f aca="false">IF(Quote!B21="","",Quote!B21)</f>
        <v/>
      </c>
      <c r="B19" s="18" t="str">
        <f aca="false">IF(Quote!B21="","",Quote!F21)</f>
        <v/>
      </c>
      <c r="C19" s="30" t="str">
        <f aca="false">IF(Quote!B21="","",Quote!M21)</f>
        <v/>
      </c>
      <c r="D19" s="30" t="str">
        <f aca="false">IF(Quote!B21="","",Quote!O21)</f>
        <v/>
      </c>
    </row>
    <row r="20" customFormat="false" ht="15" hidden="false" customHeight="false" outlineLevel="0" collapsed="false">
      <c r="A20" s="2" t="str">
        <f aca="false">IF(Quote!B22="","",Quote!B22)</f>
        <v/>
      </c>
      <c r="B20" s="18" t="str">
        <f aca="false">IF(Quote!B22="","",Quote!F22)</f>
        <v/>
      </c>
      <c r="C20" s="30" t="str">
        <f aca="false">IF(Quote!B22="","",Quote!M22)</f>
        <v/>
      </c>
      <c r="D20" s="30" t="str">
        <f aca="false">IF(Quote!B22="","",Quote!O22)</f>
        <v/>
      </c>
    </row>
    <row r="21" customFormat="false" ht="15" hidden="false" customHeight="false" outlineLevel="0" collapsed="false">
      <c r="A21" s="2" t="str">
        <f aca="false">IF(Quote!B23="","",Quote!B23)</f>
        <v/>
      </c>
      <c r="B21" s="18" t="str">
        <f aca="false">IF(Quote!B23="","",Quote!F23)</f>
        <v/>
      </c>
      <c r="C21" s="30" t="str">
        <f aca="false">IF(Quote!B23="","",Quote!M23)</f>
        <v/>
      </c>
      <c r="D21" s="30" t="str">
        <f aca="false">IF(Quote!B23="","",Quote!O23)</f>
        <v/>
      </c>
    </row>
    <row r="22" customFormat="false" ht="15" hidden="false" customHeight="false" outlineLevel="0" collapsed="false">
      <c r="A22" s="2" t="str">
        <f aca="false">IF(Quote!B24="","",Quote!B24)</f>
        <v/>
      </c>
      <c r="B22" s="18" t="str">
        <f aca="false">IF(Quote!B24="","",Quote!F24)</f>
        <v/>
      </c>
      <c r="C22" s="30" t="str">
        <f aca="false">IF(Quote!B24="","",Quote!M24)</f>
        <v/>
      </c>
      <c r="D22" s="30" t="str">
        <f aca="false">IF(Quote!B24="","",Quote!O24)</f>
        <v/>
      </c>
    </row>
    <row r="23" customFormat="false" ht="15" hidden="false" customHeight="false" outlineLevel="0" collapsed="false">
      <c r="A23" s="2" t="str">
        <f aca="false">IF(Quote!B25="","",Quote!B25)</f>
        <v/>
      </c>
      <c r="B23" s="18" t="str">
        <f aca="false">IF(Quote!B25="","",Quote!F25)</f>
        <v/>
      </c>
      <c r="C23" s="30" t="str">
        <f aca="false">IF(Quote!B25="","",Quote!M25)</f>
        <v/>
      </c>
      <c r="D23" s="30" t="str">
        <f aca="false">IF(Quote!B25="","",Quote!O25)</f>
        <v/>
      </c>
    </row>
    <row r="24" customFormat="false" ht="15" hidden="false" customHeight="false" outlineLevel="0" collapsed="false">
      <c r="A24" s="2" t="str">
        <f aca="false">IF(Quote!B26="","",Quote!B26)</f>
        <v/>
      </c>
      <c r="B24" s="18" t="str">
        <f aca="false">IF(Quote!B26="","",Quote!F26)</f>
        <v/>
      </c>
      <c r="C24" s="30" t="str">
        <f aca="false">IF(Quote!B26="","",Quote!M26)</f>
        <v/>
      </c>
      <c r="D24" s="30" t="str">
        <f aca="false">IF(Quote!B26="","",Quote!O26)</f>
        <v/>
      </c>
    </row>
    <row r="25" customFormat="false" ht="15" hidden="false" customHeight="false" outlineLevel="0" collapsed="false">
      <c r="A25" s="2" t="str">
        <f aca="false">IF(Quote!B27="","",Quote!B27)</f>
        <v/>
      </c>
      <c r="B25" s="18" t="str">
        <f aca="false">IF(Quote!B27="","",Quote!F27)</f>
        <v/>
      </c>
      <c r="C25" s="30" t="str">
        <f aca="false">IF(Quote!B27="","",Quote!M27)</f>
        <v/>
      </c>
      <c r="D25" s="30" t="str">
        <f aca="false">IF(Quote!B27="","",Quote!O27)</f>
        <v/>
      </c>
    </row>
    <row r="26" customFormat="false" ht="15" hidden="false" customHeight="false" outlineLevel="0" collapsed="false">
      <c r="A26" s="2" t="str">
        <f aca="false">IF(Quote!B28="","",Quote!B28)</f>
        <v/>
      </c>
      <c r="B26" s="18" t="str">
        <f aca="false">IF(Quote!B28="","",Quote!F28)</f>
        <v/>
      </c>
      <c r="C26" s="30" t="str">
        <f aca="false">IF(Quote!B28="","",Quote!M28)</f>
        <v/>
      </c>
      <c r="D26" s="30" t="str">
        <f aca="false">IF(Quote!B28="","",Quote!O28)</f>
        <v/>
      </c>
    </row>
    <row r="27" customFormat="false" ht="15" hidden="false" customHeight="false" outlineLevel="0" collapsed="false">
      <c r="A27" s="2" t="str">
        <f aca="false">IF(Quote!B29="","",Quote!B29)</f>
        <v/>
      </c>
      <c r="B27" s="18" t="str">
        <f aca="false">IF(Quote!B29="","",Quote!F29)</f>
        <v/>
      </c>
      <c r="C27" s="30" t="str">
        <f aca="false">IF(Quote!B29="","",Quote!M29)</f>
        <v/>
      </c>
      <c r="D27" s="30" t="str">
        <f aca="false">IF(Quote!B29="","",Quote!O29)</f>
        <v/>
      </c>
    </row>
    <row r="28" customFormat="false" ht="15" hidden="false" customHeight="false" outlineLevel="0" collapsed="false">
      <c r="A28" s="2" t="str">
        <f aca="false">IF(Quote!B30="","",Quote!B30)</f>
        <v/>
      </c>
      <c r="B28" s="18" t="str">
        <f aca="false">IF(Quote!B30="","",Quote!F30)</f>
        <v/>
      </c>
      <c r="C28" s="30" t="str">
        <f aca="false">IF(Quote!B30="","",Quote!M30)</f>
        <v/>
      </c>
      <c r="D28" s="30" t="str">
        <f aca="false">IF(Quote!B30="","",Quote!O30)</f>
        <v/>
      </c>
    </row>
    <row r="29" customFormat="false" ht="15" hidden="false" customHeight="false" outlineLevel="0" collapsed="false">
      <c r="A29" s="2" t="str">
        <f aca="false">IF(Quote!B31="","",Quote!B31)</f>
        <v/>
      </c>
      <c r="B29" s="18" t="str">
        <f aca="false">IF(Quote!B31="","",Quote!F31)</f>
        <v/>
      </c>
      <c r="C29" s="30" t="str">
        <f aca="false">IF(Quote!B31="","",Quote!M31)</f>
        <v/>
      </c>
      <c r="D29" s="30" t="str">
        <f aca="false">IF(Quote!B31="","",Quote!O31)</f>
        <v/>
      </c>
    </row>
    <row r="30" customFormat="false" ht="15" hidden="false" customHeight="false" outlineLevel="0" collapsed="false">
      <c r="A30" s="2" t="str">
        <f aca="false">IF(Quote!B32="","",Quote!B32)</f>
        <v/>
      </c>
      <c r="B30" s="18" t="str">
        <f aca="false">IF(Quote!B32="","",Quote!F32)</f>
        <v/>
      </c>
      <c r="C30" s="30" t="str">
        <f aca="false">IF(Quote!B32="","",Quote!M32)</f>
        <v/>
      </c>
      <c r="D30" s="30" t="str">
        <f aca="false">IF(Quote!B32="","",Quote!O32)</f>
        <v/>
      </c>
    </row>
    <row r="31" customFormat="false" ht="15" hidden="false" customHeight="false" outlineLevel="0" collapsed="false">
      <c r="A31" s="2" t="str">
        <f aca="false">IF(Quote!B33="","",Quote!B33)</f>
        <v/>
      </c>
      <c r="B31" s="18" t="str">
        <f aca="false">IF(Quote!B33="","",Quote!F33)</f>
        <v/>
      </c>
      <c r="C31" s="30" t="str">
        <f aca="false">IF(Quote!B33="","",Quote!M33)</f>
        <v/>
      </c>
      <c r="D31" s="30" t="str">
        <f aca="false">IF(Quote!B33="","",Quote!O33)</f>
        <v/>
      </c>
    </row>
    <row r="32" customFormat="false" ht="15" hidden="false" customHeight="false" outlineLevel="0" collapsed="false">
      <c r="A32" s="2" t="str">
        <f aca="false">IF(Quote!B34="","",Quote!B34)</f>
        <v/>
      </c>
      <c r="B32" s="18" t="str">
        <f aca="false">IF(Quote!B34="","",Quote!F34)</f>
        <v/>
      </c>
      <c r="C32" s="30" t="str">
        <f aca="false">IF(Quote!B34="","",Quote!M34)</f>
        <v/>
      </c>
      <c r="D32" s="30" t="str">
        <f aca="false">IF(Quote!B34="","",Quote!O34)</f>
        <v/>
      </c>
    </row>
    <row r="33" customFormat="false" ht="15" hidden="false" customHeight="false" outlineLevel="0" collapsed="false">
      <c r="A33" s="2" t="str">
        <f aca="false">IF(Quote!B35="","",Quote!B35)</f>
        <v/>
      </c>
      <c r="B33" s="18" t="str">
        <f aca="false">IF(Quote!B35="","",Quote!F35)</f>
        <v/>
      </c>
      <c r="C33" s="30" t="str">
        <f aca="false">IF(Quote!B35="","",Quote!M35)</f>
        <v/>
      </c>
      <c r="D33" s="30" t="str">
        <f aca="false">IF(Quote!B35="","",Quote!O35)</f>
        <v/>
      </c>
    </row>
    <row r="34" customFormat="false" ht="15" hidden="false" customHeight="false" outlineLevel="0" collapsed="false">
      <c r="A34" s="2" t="str">
        <f aca="false">IF(Quote!B36="","",Quote!B36)</f>
        <v/>
      </c>
      <c r="B34" s="18" t="str">
        <f aca="false">IF(Quote!B36="","",Quote!F36)</f>
        <v/>
      </c>
      <c r="C34" s="30" t="str">
        <f aca="false">IF(Quote!B36="","",Quote!M36)</f>
        <v/>
      </c>
      <c r="D34" s="30" t="str">
        <f aca="false">IF(Quote!B36="","",Quote!O36)</f>
        <v/>
      </c>
    </row>
    <row r="35" customFormat="false" ht="15" hidden="false" customHeight="false" outlineLevel="0" collapsed="false">
      <c r="A35" s="2" t="str">
        <f aca="false">IF(Quote!B37="","",Quote!B37)</f>
        <v/>
      </c>
      <c r="B35" s="18" t="str">
        <f aca="false">IF(Quote!B37="","",Quote!F37)</f>
        <v/>
      </c>
      <c r="C35" s="30" t="str">
        <f aca="false">IF(Quote!B37="","",Quote!M37)</f>
        <v/>
      </c>
      <c r="D35" s="30" t="str">
        <f aca="false">IF(Quote!B37="","",Quote!O37)</f>
        <v/>
      </c>
    </row>
    <row r="36" customFormat="false" ht="15" hidden="false" customHeight="false" outlineLevel="0" collapsed="false">
      <c r="A36" s="3" t="s">
        <v>376</v>
      </c>
      <c r="B36" s="18" t="n">
        <f aca="false">Quote!B43</f>
        <v>87</v>
      </c>
      <c r="C36" s="30" t="n">
        <f aca="false">IF(Quote!B43=0,0,Quote!B44/Quote!B43)</f>
        <v>15</v>
      </c>
      <c r="D36" s="30" t="n">
        <f aca="false">Quote!B44</f>
        <v>1305</v>
      </c>
    </row>
    <row r="37" customFormat="false" ht="15" hidden="false" customHeight="false" outlineLevel="0" collapsed="false">
      <c r="A37" s="4" t="s">
        <v>377</v>
      </c>
      <c r="B37" s="2"/>
      <c r="C37" s="2"/>
      <c r="D37" s="28" t="n">
        <f aca="false">Quote!B45</f>
        <v>5851.78</v>
      </c>
    </row>
    <row r="38" customFormat="false" ht="15" hidden="false" customHeight="false" outlineLevel="0" collapsed="false">
      <c r="A38" s="4" t="s">
        <v>378</v>
      </c>
      <c r="B38" s="2"/>
      <c r="C38" s="2"/>
      <c r="D38" s="28" t="n">
        <f aca="false">Quote!B46</f>
        <v>877.767</v>
      </c>
    </row>
    <row r="39" customFormat="false" ht="15" hidden="false" customHeight="false" outlineLevel="0" collapsed="false">
      <c r="A39" s="4" t="s">
        <v>379</v>
      </c>
      <c r="B39" s="2"/>
      <c r="C39" s="2"/>
      <c r="D39" s="28" t="n">
        <f aca="false">Quote!B47</f>
        <v>6729.547</v>
      </c>
    </row>
    <row r="40" customFormat="false" ht="15" hidden="false" customHeight="false" outlineLevel="0" collapsed="false">
      <c r="A40" s="4" t="s">
        <v>380</v>
      </c>
      <c r="B40" s="2"/>
      <c r="C40" s="2"/>
      <c r="D40" s="28" t="n">
        <f aca="false">Quote!B48</f>
        <v>70221.36</v>
      </c>
    </row>
    <row r="41" customFormat="false" ht="15" hidden="false" customHeight="false" outlineLevel="0" collapsed="false">
      <c r="A41" s="4" t="s">
        <v>381</v>
      </c>
      <c r="B41" s="2"/>
      <c r="C41" s="2"/>
      <c r="D41" s="28" t="n">
        <f aca="false">Quote!B50</f>
        <v>7500</v>
      </c>
    </row>
    <row r="42" customFormat="false" ht="15" hidden="false" customHeight="false" outlineLevel="0" collapsed="false">
      <c r="A42" s="2"/>
      <c r="B42" s="2"/>
      <c r="C42" s="2"/>
      <c r="D42" s="2"/>
    </row>
    <row r="43" customFormat="false" ht="15" hidden="false" customHeight="false" outlineLevel="0" collapsed="false">
      <c r="A43" s="3" t="s">
        <v>382</v>
      </c>
      <c r="B43" s="2"/>
      <c r="C43" s="2"/>
      <c r="D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5" min="4" style="0" width="15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383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11" t="s">
        <v>384</v>
      </c>
      <c r="B3" s="11" t="s">
        <v>385</v>
      </c>
      <c r="C3" s="11" t="s">
        <v>386</v>
      </c>
      <c r="D3" s="11" t="s">
        <v>387</v>
      </c>
      <c r="E3" s="11" t="s">
        <v>388</v>
      </c>
      <c r="F3" s="11" t="s">
        <v>389</v>
      </c>
    </row>
    <row r="4" customFormat="false" ht="15" hidden="false" customHeight="false" outlineLevel="0" collapsed="false">
      <c r="A4" s="2" t="s">
        <v>79</v>
      </c>
      <c r="B4" s="2" t="s">
        <v>390</v>
      </c>
      <c r="C4" s="2" t="s">
        <v>391</v>
      </c>
      <c r="D4" s="2" t="s">
        <v>392</v>
      </c>
      <c r="E4" s="2" t="s">
        <v>392</v>
      </c>
      <c r="F4" s="2" t="s">
        <v>392</v>
      </c>
    </row>
    <row r="5" customFormat="false" ht="15" hidden="false" customHeight="false" outlineLevel="0" collapsed="false">
      <c r="A5" s="2" t="s">
        <v>79</v>
      </c>
      <c r="B5" s="2" t="s">
        <v>390</v>
      </c>
      <c r="C5" s="2" t="s">
        <v>393</v>
      </c>
      <c r="D5" s="2" t="s">
        <v>392</v>
      </c>
      <c r="E5" s="2" t="s">
        <v>392</v>
      </c>
      <c r="F5" s="2" t="s">
        <v>392</v>
      </c>
    </row>
    <row r="6" customFormat="false" ht="15" hidden="false" customHeight="false" outlineLevel="0" collapsed="false">
      <c r="A6" s="2" t="s">
        <v>79</v>
      </c>
      <c r="B6" s="2" t="s">
        <v>394</v>
      </c>
      <c r="C6" s="2" t="s">
        <v>395</v>
      </c>
      <c r="D6" s="2" t="s">
        <v>392</v>
      </c>
      <c r="E6" s="2"/>
      <c r="F6" s="2" t="s">
        <v>392</v>
      </c>
    </row>
    <row r="7" customFormat="false" ht="15" hidden="false" customHeight="false" outlineLevel="0" collapsed="false">
      <c r="A7" s="2" t="s">
        <v>79</v>
      </c>
      <c r="B7" s="2" t="s">
        <v>396</v>
      </c>
      <c r="C7" s="2" t="s">
        <v>397</v>
      </c>
      <c r="D7" s="2"/>
      <c r="E7" s="2"/>
      <c r="F7" s="2" t="s">
        <v>392</v>
      </c>
    </row>
    <row r="8" customFormat="false" ht="15" hidden="false" customHeight="false" outlineLevel="0" collapsed="false">
      <c r="A8" s="2" t="s">
        <v>79</v>
      </c>
      <c r="B8" s="2" t="s">
        <v>398</v>
      </c>
      <c r="C8" s="2" t="s">
        <v>399</v>
      </c>
      <c r="D8" s="2" t="s">
        <v>392</v>
      </c>
      <c r="E8" s="2" t="s">
        <v>392</v>
      </c>
      <c r="F8" s="2" t="s">
        <v>392</v>
      </c>
    </row>
    <row r="9" customFormat="false" ht="15" hidden="false" customHeight="false" outlineLevel="0" collapsed="false">
      <c r="A9" s="2" t="s">
        <v>79</v>
      </c>
      <c r="B9" s="2" t="s">
        <v>400</v>
      </c>
      <c r="C9" s="2" t="s">
        <v>401</v>
      </c>
      <c r="D9" s="2"/>
      <c r="E9" s="2"/>
      <c r="F9" s="2" t="s">
        <v>392</v>
      </c>
    </row>
    <row r="10" customFormat="false" ht="15" hidden="false" customHeight="false" outlineLevel="0" collapsed="false">
      <c r="A10" s="2" t="s">
        <v>79</v>
      </c>
      <c r="B10" s="2" t="s">
        <v>400</v>
      </c>
      <c r="C10" s="2" t="s">
        <v>402</v>
      </c>
      <c r="D10" s="2"/>
      <c r="E10" s="2"/>
      <c r="F10" s="2"/>
    </row>
    <row r="11" customFormat="false" ht="15" hidden="false" customHeight="false" outlineLevel="0" collapsed="false">
      <c r="A11" s="2" t="s">
        <v>79</v>
      </c>
      <c r="B11" s="2" t="s">
        <v>394</v>
      </c>
      <c r="C11" s="2" t="s">
        <v>403</v>
      </c>
      <c r="D11" s="2" t="s">
        <v>392</v>
      </c>
      <c r="E11" s="2"/>
      <c r="F11" s="2" t="s">
        <v>392</v>
      </c>
    </row>
    <row r="12" customFormat="false" ht="15" hidden="false" customHeight="false" outlineLevel="0" collapsed="false">
      <c r="A12" s="2" t="s">
        <v>79</v>
      </c>
      <c r="B12" s="2" t="s">
        <v>404</v>
      </c>
      <c r="C12" s="2" t="s">
        <v>405</v>
      </c>
      <c r="D12" s="2"/>
      <c r="E12" s="2"/>
      <c r="F12" s="2" t="s">
        <v>392</v>
      </c>
    </row>
    <row r="13" customFormat="false" ht="15" hidden="false" customHeight="false" outlineLevel="0" collapsed="false">
      <c r="A13" s="2" t="s">
        <v>79</v>
      </c>
      <c r="B13" s="2" t="s">
        <v>390</v>
      </c>
      <c r="C13" s="2" t="s">
        <v>406</v>
      </c>
      <c r="D13" s="2"/>
      <c r="E13" s="2" t="s">
        <v>392</v>
      </c>
      <c r="F13" s="2"/>
    </row>
    <row r="14" customFormat="false" ht="15" hidden="false" customHeight="false" outlineLevel="0" collapsed="false">
      <c r="A14" s="2" t="s">
        <v>79</v>
      </c>
      <c r="B14" s="2" t="s">
        <v>407</v>
      </c>
      <c r="C14" s="2" t="s">
        <v>407</v>
      </c>
      <c r="D14" s="2"/>
      <c r="E14" s="2"/>
      <c r="F14" s="2" t="s">
        <v>392</v>
      </c>
    </row>
    <row r="15" customFormat="false" ht="15" hidden="false" customHeight="false" outlineLevel="0" collapsed="false">
      <c r="A15" s="2" t="s">
        <v>79</v>
      </c>
      <c r="B15" s="2" t="s">
        <v>408</v>
      </c>
      <c r="C15" s="2" t="s">
        <v>409</v>
      </c>
      <c r="D15" s="2"/>
      <c r="E15" s="2" t="s">
        <v>392</v>
      </c>
      <c r="F15" s="2" t="s">
        <v>392</v>
      </c>
    </row>
    <row r="16" customFormat="false" ht="15" hidden="false" customHeight="false" outlineLevel="0" collapsed="false">
      <c r="A16" s="2" t="s">
        <v>79</v>
      </c>
      <c r="B16" s="2" t="s">
        <v>410</v>
      </c>
      <c r="C16" s="2" t="s">
        <v>411</v>
      </c>
      <c r="D16" s="2" t="s">
        <v>392</v>
      </c>
      <c r="E16" s="2" t="s">
        <v>392</v>
      </c>
      <c r="F16" s="2" t="s">
        <v>392</v>
      </c>
    </row>
    <row r="17" customFormat="false" ht="15" hidden="false" customHeight="false" outlineLevel="0" collapsed="false">
      <c r="A17" s="2" t="s">
        <v>79</v>
      </c>
      <c r="B17" s="2" t="s">
        <v>410</v>
      </c>
      <c r="C17" s="2" t="s">
        <v>412</v>
      </c>
      <c r="D17" s="2" t="s">
        <v>392</v>
      </c>
      <c r="E17" s="2" t="s">
        <v>392</v>
      </c>
      <c r="F17" s="2" t="s">
        <v>392</v>
      </c>
    </row>
    <row r="18" customFormat="false" ht="15" hidden="false" customHeight="false" outlineLevel="0" collapsed="false">
      <c r="A18" s="2" t="s">
        <v>79</v>
      </c>
      <c r="B18" s="2" t="s">
        <v>413</v>
      </c>
      <c r="C18" s="2" t="s">
        <v>414</v>
      </c>
      <c r="D18" s="2"/>
      <c r="E18" s="2"/>
      <c r="F18" s="2" t="s">
        <v>392</v>
      </c>
    </row>
    <row r="19" customFormat="false" ht="15" hidden="false" customHeight="false" outlineLevel="0" collapsed="false">
      <c r="A19" s="2" t="s">
        <v>79</v>
      </c>
      <c r="B19" s="2" t="s">
        <v>415</v>
      </c>
      <c r="C19" s="2" t="s">
        <v>416</v>
      </c>
      <c r="D19" s="2"/>
      <c r="E19" s="2"/>
      <c r="F19" s="2"/>
    </row>
    <row r="20" customFormat="false" ht="15" hidden="false" customHeight="false" outlineLevel="0" collapsed="false">
      <c r="A20" s="2" t="s">
        <v>79</v>
      </c>
      <c r="B20" s="2" t="s">
        <v>417</v>
      </c>
      <c r="C20" s="2" t="s">
        <v>418</v>
      </c>
      <c r="D20" s="2"/>
      <c r="E20" s="2"/>
      <c r="F20" s="2" t="s">
        <v>392</v>
      </c>
    </row>
    <row r="21" customFormat="false" ht="15" hidden="false" customHeight="false" outlineLevel="0" collapsed="false">
      <c r="A21" s="2" t="s">
        <v>79</v>
      </c>
      <c r="B21" s="2" t="s">
        <v>419</v>
      </c>
      <c r="C21" s="2" t="s">
        <v>420</v>
      </c>
      <c r="D21" s="2"/>
      <c r="E21" s="2"/>
      <c r="F21" s="2" t="s">
        <v>392</v>
      </c>
    </row>
    <row r="22" customFormat="false" ht="15" hidden="false" customHeight="false" outlineLevel="0" collapsed="false">
      <c r="A22" s="2" t="s">
        <v>79</v>
      </c>
      <c r="B22" s="2" t="s">
        <v>421</v>
      </c>
      <c r="C22" s="2" t="s">
        <v>422</v>
      </c>
      <c r="D22" s="2"/>
      <c r="E22" s="2"/>
      <c r="F22" s="2" t="s">
        <v>392</v>
      </c>
    </row>
    <row r="23" customFormat="false" ht="15" hidden="false" customHeight="false" outlineLevel="0" collapsed="false">
      <c r="A23" s="2" t="s">
        <v>79</v>
      </c>
      <c r="B23" s="2" t="s">
        <v>423</v>
      </c>
      <c r="C23" s="2" t="s">
        <v>424</v>
      </c>
      <c r="D23" s="2"/>
      <c r="E23" s="2"/>
      <c r="F23" s="2" t="s">
        <v>392</v>
      </c>
    </row>
    <row r="24" customFormat="false" ht="15" hidden="false" customHeight="false" outlineLevel="0" collapsed="false">
      <c r="A24" s="2" t="s">
        <v>79</v>
      </c>
      <c r="B24" s="2" t="s">
        <v>425</v>
      </c>
      <c r="C24" s="2" t="s">
        <v>426</v>
      </c>
      <c r="D24" s="2"/>
      <c r="E24" s="2"/>
      <c r="F24" s="2" t="s">
        <v>392</v>
      </c>
    </row>
    <row r="25" customFormat="false" ht="15" hidden="false" customHeight="false" outlineLevel="0" collapsed="false">
      <c r="A25" s="2" t="s">
        <v>79</v>
      </c>
      <c r="B25" s="2" t="s">
        <v>427</v>
      </c>
      <c r="C25" s="2" t="s">
        <v>428</v>
      </c>
      <c r="D25" s="2"/>
      <c r="E25" s="2"/>
      <c r="F25" s="2" t="s">
        <v>392</v>
      </c>
    </row>
    <row r="26" customFormat="false" ht="15" hidden="false" customHeight="false" outlineLevel="0" collapsed="false">
      <c r="A26" s="2" t="s">
        <v>79</v>
      </c>
      <c r="B26" s="2" t="s">
        <v>429</v>
      </c>
      <c r="C26" s="2" t="s">
        <v>430</v>
      </c>
      <c r="D26" s="2"/>
      <c r="E26" s="2"/>
      <c r="F26" s="2" t="s">
        <v>392</v>
      </c>
    </row>
    <row r="27" customFormat="false" ht="15" hidden="false" customHeight="false" outlineLevel="0" collapsed="false">
      <c r="A27" s="2" t="s">
        <v>79</v>
      </c>
      <c r="B27" s="2" t="s">
        <v>431</v>
      </c>
      <c r="C27" s="2" t="s">
        <v>432</v>
      </c>
      <c r="D27" s="2"/>
      <c r="E27" s="2"/>
      <c r="F27" s="2" t="s">
        <v>392</v>
      </c>
    </row>
    <row r="28" customFormat="false" ht="15" hidden="false" customHeight="false" outlineLevel="0" collapsed="false">
      <c r="A28" s="2" t="s">
        <v>79</v>
      </c>
      <c r="B28" s="2" t="s">
        <v>433</v>
      </c>
      <c r="C28" s="2" t="s">
        <v>434</v>
      </c>
      <c r="D28" s="2" t="s">
        <v>392</v>
      </c>
      <c r="E28" s="2"/>
      <c r="F28" s="2" t="s">
        <v>392</v>
      </c>
    </row>
    <row r="29" customFormat="false" ht="15" hidden="false" customHeight="false" outlineLevel="0" collapsed="false">
      <c r="A29" s="2" t="s">
        <v>79</v>
      </c>
      <c r="B29" s="2" t="s">
        <v>435</v>
      </c>
      <c r="C29" s="2" t="s">
        <v>436</v>
      </c>
      <c r="D29" s="2"/>
      <c r="E29" s="2"/>
      <c r="F29" s="2" t="s">
        <v>392</v>
      </c>
    </row>
    <row r="30" customFormat="false" ht="15" hidden="false" customHeight="false" outlineLevel="0" collapsed="false">
      <c r="A30" s="2" t="s">
        <v>79</v>
      </c>
      <c r="B30" s="2" t="s">
        <v>437</v>
      </c>
      <c r="C30" s="2" t="s">
        <v>438</v>
      </c>
      <c r="D30" s="2"/>
      <c r="E30" s="2"/>
      <c r="F30" s="2" t="s">
        <v>392</v>
      </c>
    </row>
    <row r="31" customFormat="false" ht="15" hidden="false" customHeight="false" outlineLevel="0" collapsed="false">
      <c r="A31" s="2" t="s">
        <v>79</v>
      </c>
      <c r="B31" s="2" t="s">
        <v>439</v>
      </c>
      <c r="C31" s="2" t="s">
        <v>440</v>
      </c>
      <c r="D31" s="2"/>
      <c r="E31" s="2"/>
      <c r="F31" s="2" t="s">
        <v>392</v>
      </c>
    </row>
    <row r="32" customFormat="false" ht="15" hidden="false" customHeight="false" outlineLevel="0" collapsed="false">
      <c r="A32" s="2" t="s">
        <v>79</v>
      </c>
      <c r="B32" s="2" t="s">
        <v>441</v>
      </c>
      <c r="C32" s="2" t="s">
        <v>442</v>
      </c>
      <c r="D32" s="2"/>
      <c r="E32" s="2"/>
      <c r="F32" s="2" t="s">
        <v>392</v>
      </c>
    </row>
    <row r="33" customFormat="false" ht="15" hidden="false" customHeight="false" outlineLevel="0" collapsed="false">
      <c r="A33" s="2" t="s">
        <v>79</v>
      </c>
      <c r="B33" s="2" t="s">
        <v>443</v>
      </c>
      <c r="C33" s="2" t="s">
        <v>444</v>
      </c>
      <c r="D33" s="2"/>
      <c r="E33" s="2"/>
      <c r="F33" s="2" t="s">
        <v>392</v>
      </c>
    </row>
    <row r="34" customFormat="false" ht="15" hidden="false" customHeight="false" outlineLevel="0" collapsed="false">
      <c r="A34" s="2" t="s">
        <v>79</v>
      </c>
      <c r="B34" s="2" t="s">
        <v>445</v>
      </c>
      <c r="C34" s="2" t="s">
        <v>446</v>
      </c>
      <c r="D34" s="2"/>
      <c r="E34" s="2"/>
      <c r="F34" s="2" t="s">
        <v>392</v>
      </c>
    </row>
    <row r="35" customFormat="false" ht="15" hidden="false" customHeight="false" outlineLevel="0" collapsed="false">
      <c r="A35" s="2" t="s">
        <v>79</v>
      </c>
      <c r="B35" s="2" t="s">
        <v>447</v>
      </c>
      <c r="C35" s="2" t="s">
        <v>448</v>
      </c>
      <c r="D35" s="2"/>
      <c r="E35" s="2"/>
      <c r="F35" s="2" t="s">
        <v>392</v>
      </c>
    </row>
    <row r="36" customFormat="false" ht="15" hidden="false" customHeight="false" outlineLevel="0" collapsed="false">
      <c r="A36" s="2" t="s">
        <v>79</v>
      </c>
      <c r="B36" s="2" t="s">
        <v>449</v>
      </c>
      <c r="C36" s="2" t="s">
        <v>450</v>
      </c>
      <c r="D36" s="2"/>
      <c r="E36" s="2"/>
      <c r="F36" s="2" t="s">
        <v>392</v>
      </c>
    </row>
    <row r="37" customFormat="false" ht="15" hidden="false" customHeight="false" outlineLevel="0" collapsed="false">
      <c r="A37" s="2" t="s">
        <v>79</v>
      </c>
      <c r="B37" s="2" t="s">
        <v>451</v>
      </c>
      <c r="C37" s="2" t="s">
        <v>452</v>
      </c>
      <c r="D37" s="2"/>
      <c r="E37" s="2"/>
      <c r="F37" s="2" t="s">
        <v>392</v>
      </c>
    </row>
    <row r="38" customFormat="false" ht="15" hidden="false" customHeight="false" outlineLevel="0" collapsed="false">
      <c r="A38" s="2" t="s">
        <v>79</v>
      </c>
      <c r="B38" s="2" t="s">
        <v>453</v>
      </c>
      <c r="C38" s="2" t="s">
        <v>454</v>
      </c>
      <c r="D38" s="2"/>
      <c r="E38" s="2"/>
      <c r="F38" s="2" t="s">
        <v>392</v>
      </c>
    </row>
    <row r="39" customFormat="false" ht="15" hidden="false" customHeight="false" outlineLevel="0" collapsed="false">
      <c r="A39" s="2" t="s">
        <v>79</v>
      </c>
      <c r="B39" s="2" t="s">
        <v>455</v>
      </c>
      <c r="C39" s="2" t="s">
        <v>456</v>
      </c>
      <c r="D39" s="2"/>
      <c r="E39" s="2"/>
      <c r="F39" s="2" t="s">
        <v>392</v>
      </c>
    </row>
    <row r="40" customFormat="false" ht="15" hidden="false" customHeight="false" outlineLevel="0" collapsed="false">
      <c r="A40" s="2" t="s">
        <v>92</v>
      </c>
      <c r="B40" s="2" t="s">
        <v>457</v>
      </c>
      <c r="C40" s="2" t="s">
        <v>458</v>
      </c>
      <c r="D40" s="2"/>
      <c r="E40" s="2"/>
      <c r="F40" s="2" t="s">
        <v>392</v>
      </c>
    </row>
    <row r="41" customFormat="false" ht="15" hidden="false" customHeight="false" outlineLevel="0" collapsed="false">
      <c r="A41" s="2" t="s">
        <v>92</v>
      </c>
      <c r="B41" s="2" t="s">
        <v>459</v>
      </c>
      <c r="C41" s="2" t="s">
        <v>460</v>
      </c>
      <c r="D41" s="2"/>
      <c r="E41" s="2"/>
      <c r="F41" s="2" t="s">
        <v>392</v>
      </c>
    </row>
    <row r="42" customFormat="false" ht="15" hidden="false" customHeight="false" outlineLevel="0" collapsed="false">
      <c r="A42" s="2" t="s">
        <v>92</v>
      </c>
      <c r="B42" s="2" t="s">
        <v>461</v>
      </c>
      <c r="C42" s="2" t="s">
        <v>462</v>
      </c>
      <c r="D42" s="2"/>
      <c r="E42" s="2"/>
      <c r="F42" s="2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2026-10-01T14:11:48Z</dcterms:created>
  <dc:creator>openpyxl</dc:creator>
  <dc:description/>
  <dc:language>en-US</dc:language>
  <cp:lastModifiedBy/>
  <dcterms:modified xsi:type="dcterms:W3CDTF">2026-10-01T14:11:48Z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