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acronis.sharepoint.com/sites/PM/Shared Documents/Product Operations/SP Cloud/Pricelists/C26.09 Drafts/Calculators/"/>
    </mc:Choice>
  </mc:AlternateContent>
  <xr:revisionPtr revIDLastSave="0" documentId="8_{37B90832-E87C-4D46-8C35-93462CB894FB}" xr6:coauthVersionLast="47" xr6:coauthVersionMax="47" xr10:uidLastSave="{00000000-0000-0000-0000-000000000000}"/>
  <bookViews>
    <workbookView xWindow="22932" yWindow="-108" windowWidth="30936" windowHeight="16776" tabRatio="908" firstSheet="1" activeTab="1" xr2:uid="{00000000-000D-0000-FFFF-FFFF00000000}"/>
  </bookViews>
  <sheets>
    <sheet name="Solution-based" sheetId="19" r:id="rId1"/>
    <sheet name="Service-based" sheetId="1" r:id="rId2"/>
    <sheet name="Pricelist USD" sheetId="8" r:id="rId3"/>
    <sheet name="Compute points" sheetId="7" r:id="rId4"/>
    <sheet name="Cloud DCs" sheetId="6" r:id="rId5"/>
    <sheet name="Instructions" sheetId="20" r:id="rId6"/>
    <sheet name="Calculator -1 tier" sheetId="4" state="hidden" r:id="rId7"/>
    <sheet name="Calculator +1 tier" sheetId="5" state="hidden" r:id="rId8"/>
  </sheets>
  <definedNames>
    <definedName name="_xlnm._FilterDatabase" localSheetId="2" hidden="1">'Pricelist USD'!$A$1:$O$125</definedName>
    <definedName name="Calculator_type">#REF!</definedName>
    <definedName name="CommitmentIndexList">TRANSPOSE(IF(VLOOKUP('Solution-based'!$B$3,#REF!,3,FALSE)="YES",_xlfn.SEQUENCE(8),_xlfn.SEQUENCE(7)))</definedName>
    <definedName name="CommitmentList">INDIRECT("'Pricelist "&amp;'Solution-based'!$B$3&amp;"'!$G$2:$N$2")</definedName>
    <definedName name="Currency">#REF!</definedName>
    <definedName name="min_commit" localSheetId="2">'Pricelist USD'!$G$2:$M$2</definedName>
    <definedName name="min_commit">'Pricelist USD'!$G$2:$M$2</definedName>
    <definedName name="T_1">#REF!</definedName>
    <definedName name="T_2">#REF!</definedName>
    <definedName name="T_3">#REF!</definedName>
    <definedName name="T_4">#REF!</definedName>
    <definedName name="T_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4" l="1"/>
  <c r="D38" i="4" s="1"/>
  <c r="D5" i="19"/>
  <c r="C38" i="5" l="1"/>
  <c r="D38" i="5"/>
  <c r="C107" i="4" l="1"/>
  <c r="C107" i="5" s="1"/>
  <c r="D107" i="4" l="1"/>
  <c r="D107" i="5" s="1"/>
  <c r="O39" i="8"/>
  <c r="O40" i="8"/>
  <c r="O41" i="8"/>
  <c r="O38" i="8"/>
  <c r="O37" i="8"/>
  <c r="O118" i="8"/>
  <c r="O116" i="8"/>
  <c r="O91" i="8"/>
  <c r="O77" i="8"/>
  <c r="O73" i="8"/>
  <c r="O69" i="8"/>
  <c r="O64" i="8"/>
  <c r="O63" i="8"/>
  <c r="F29" i="1" l="1"/>
  <c r="F30" i="1"/>
  <c r="O3" i="8" l="1"/>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42" i="8"/>
  <c r="O43" i="8"/>
  <c r="O44" i="8"/>
  <c r="O45" i="8"/>
  <c r="O46" i="8"/>
  <c r="O47" i="8"/>
  <c r="O48" i="8"/>
  <c r="O49" i="8"/>
  <c r="O50" i="8"/>
  <c r="O51" i="8"/>
  <c r="O52" i="8"/>
  <c r="O53" i="8"/>
  <c r="O54" i="8"/>
  <c r="O55" i="8"/>
  <c r="O56" i="8"/>
  <c r="O57" i="8"/>
  <c r="O58" i="8"/>
  <c r="O59" i="8"/>
  <c r="O60" i="8"/>
  <c r="O61" i="8"/>
  <c r="O62" i="8"/>
  <c r="O65" i="8"/>
  <c r="O66" i="8"/>
  <c r="O67" i="8"/>
  <c r="O68" i="8"/>
  <c r="O70" i="8"/>
  <c r="O71" i="8"/>
  <c r="O72" i="8"/>
  <c r="O74" i="8"/>
  <c r="G29" i="1"/>
  <c r="G30" i="1"/>
  <c r="C86" i="4"/>
  <c r="C86" i="5" s="1"/>
  <c r="C87" i="4"/>
  <c r="C87" i="5" s="1"/>
  <c r="C21" i="4"/>
  <c r="D21" i="4" s="1"/>
  <c r="C22" i="4"/>
  <c r="D22" i="4" s="1"/>
  <c r="D54" i="4"/>
  <c r="F54" i="4" s="1"/>
  <c r="D53" i="4"/>
  <c r="F53" i="4" s="1"/>
  <c r="D54" i="5"/>
  <c r="F54" i="5" s="1"/>
  <c r="D53" i="5"/>
  <c r="F53" i="5" s="1"/>
  <c r="C54" i="5"/>
  <c r="C53" i="5"/>
  <c r="C54" i="4"/>
  <c r="C53" i="4"/>
  <c r="O93" i="8"/>
  <c r="G130" i="8"/>
  <c r="H130" i="8"/>
  <c r="I130" i="8"/>
  <c r="J130" i="8"/>
  <c r="K130" i="8"/>
  <c r="L130" i="8"/>
  <c r="M130" i="8"/>
  <c r="N130" i="8"/>
  <c r="C85" i="4"/>
  <c r="C116" i="5"/>
  <c r="C112" i="5"/>
  <c r="C113" i="5"/>
  <c r="C96" i="5"/>
  <c r="C97" i="5"/>
  <c r="C98" i="5"/>
  <c r="C100" i="5"/>
  <c r="C65" i="5"/>
  <c r="C66" i="5"/>
  <c r="C67" i="5"/>
  <c r="C68" i="5"/>
  <c r="C70" i="5"/>
  <c r="C72" i="5"/>
  <c r="C73" i="5"/>
  <c r="C74" i="5"/>
  <c r="C64" i="5"/>
  <c r="C46" i="5"/>
  <c r="C47" i="5"/>
  <c r="C48" i="5"/>
  <c r="C49" i="5"/>
  <c r="C50" i="5"/>
  <c r="C51" i="5"/>
  <c r="C52" i="5"/>
  <c r="C55" i="5"/>
  <c r="C57" i="5"/>
  <c r="C58" i="5"/>
  <c r="C59" i="5"/>
  <c r="C60" i="5"/>
  <c r="C61" i="5"/>
  <c r="C62" i="5"/>
  <c r="C114" i="4"/>
  <c r="D114" i="4" s="1"/>
  <c r="D114" i="5" s="1"/>
  <c r="C111" i="4"/>
  <c r="D111" i="4" s="1"/>
  <c r="D111" i="5" s="1"/>
  <c r="D116" i="4"/>
  <c r="D116" i="5" s="1"/>
  <c r="D113" i="4"/>
  <c r="D113" i="5" s="1"/>
  <c r="D112" i="4"/>
  <c r="D112" i="5" s="1"/>
  <c r="C95" i="4"/>
  <c r="D95" i="4" s="1"/>
  <c r="D95" i="5" s="1"/>
  <c r="C92" i="4"/>
  <c r="D92" i="4" s="1"/>
  <c r="D92" i="5" s="1"/>
  <c r="C91" i="4"/>
  <c r="D91" i="4" s="1"/>
  <c r="D91" i="5" s="1"/>
  <c r="C83" i="4"/>
  <c r="D83" i="4" s="1"/>
  <c r="D83" i="5" s="1"/>
  <c r="C82" i="4"/>
  <c r="D82" i="4" s="1"/>
  <c r="D82" i="5" s="1"/>
  <c r="C80" i="4"/>
  <c r="D80" i="4" s="1"/>
  <c r="D80" i="5" s="1"/>
  <c r="D96" i="4"/>
  <c r="D96" i="5" s="1"/>
  <c r="D97" i="4"/>
  <c r="D97" i="5" s="1"/>
  <c r="D100" i="4"/>
  <c r="D100" i="5" s="1"/>
  <c r="C69" i="4"/>
  <c r="D69" i="4" s="1"/>
  <c r="D69" i="5" s="1"/>
  <c r="D65" i="4"/>
  <c r="D65" i="5" s="1"/>
  <c r="D66" i="4"/>
  <c r="D66" i="5" s="1"/>
  <c r="D67" i="4"/>
  <c r="D67" i="5" s="1"/>
  <c r="D68" i="4"/>
  <c r="D68" i="5" s="1"/>
  <c r="D70" i="4"/>
  <c r="D70" i="5" s="1"/>
  <c r="D72" i="4"/>
  <c r="D73" i="4"/>
  <c r="D74" i="4"/>
  <c r="D64" i="4"/>
  <c r="D64" i="5" s="1"/>
  <c r="C56" i="4"/>
  <c r="D56" i="4" s="1"/>
  <c r="D56" i="5" s="1"/>
  <c r="D47" i="4"/>
  <c r="D47" i="5" s="1"/>
  <c r="D48" i="4"/>
  <c r="D48" i="5" s="1"/>
  <c r="D49" i="4"/>
  <c r="D49" i="5" s="1"/>
  <c r="D50" i="4"/>
  <c r="D50" i="5" s="1"/>
  <c r="D51" i="4"/>
  <c r="D51" i="5" s="1"/>
  <c r="D52" i="4"/>
  <c r="D52" i="5" s="1"/>
  <c r="D55" i="4"/>
  <c r="D55" i="5" s="1"/>
  <c r="D57" i="4"/>
  <c r="D57" i="5" s="1"/>
  <c r="D58" i="4"/>
  <c r="D58" i="5" s="1"/>
  <c r="D59" i="4"/>
  <c r="D59" i="5" s="1"/>
  <c r="D60" i="4"/>
  <c r="D60" i="5" s="1"/>
  <c r="D61" i="4"/>
  <c r="D61" i="5" s="1"/>
  <c r="D62" i="4"/>
  <c r="D62" i="5" s="1"/>
  <c r="D46" i="4"/>
  <c r="D46" i="5" s="1"/>
  <c r="C48" i="19"/>
  <c r="O119" i="8"/>
  <c r="O117" i="8"/>
  <c r="O115" i="8"/>
  <c r="O114" i="8"/>
  <c r="C104" i="4"/>
  <c r="D104" i="4" s="1"/>
  <c r="D104" i="5" s="1"/>
  <c r="C105" i="4"/>
  <c r="D105" i="4" s="1"/>
  <c r="D105" i="5" s="1"/>
  <c r="C106" i="4"/>
  <c r="C108" i="4"/>
  <c r="D108" i="4" s="1"/>
  <c r="D108" i="5" s="1"/>
  <c r="C109" i="4"/>
  <c r="D109" i="4" s="1"/>
  <c r="D109" i="5" s="1"/>
  <c r="C103" i="4"/>
  <c r="D103" i="4" s="1"/>
  <c r="D103" i="5" s="1"/>
  <c r="C35" i="4"/>
  <c r="C35" i="5" s="1"/>
  <c r="C36" i="4"/>
  <c r="C36" i="5" s="1"/>
  <c r="C37" i="4"/>
  <c r="C37" i="5" s="1"/>
  <c r="C39" i="4"/>
  <c r="C39" i="5" s="1"/>
  <c r="C40" i="4"/>
  <c r="C40" i="5" s="1"/>
  <c r="C34" i="4"/>
  <c r="C34" i="5" s="1"/>
  <c r="D3" i="1"/>
  <c r="D106" i="4" l="1"/>
  <c r="D106" i="5" s="1"/>
  <c r="D74" i="5"/>
  <c r="D73" i="5"/>
  <c r="C22" i="5"/>
  <c r="D72" i="5"/>
  <c r="C21" i="5"/>
  <c r="D86" i="4"/>
  <c r="D86" i="5" s="1"/>
  <c r="D87" i="4"/>
  <c r="D87" i="5" s="1"/>
  <c r="D21" i="5"/>
  <c r="D22" i="5"/>
  <c r="C114" i="5"/>
  <c r="C91" i="5"/>
  <c r="C111" i="5"/>
  <c r="C103" i="5"/>
  <c r="C92" i="5"/>
  <c r="C108" i="5"/>
  <c r="C82" i="5"/>
  <c r="C106" i="5"/>
  <c r="C80" i="5"/>
  <c r="C105" i="5"/>
  <c r="C95" i="5"/>
  <c r="C104" i="5"/>
  <c r="C109" i="5"/>
  <c r="C83" i="5"/>
  <c r="C69" i="5"/>
  <c r="C56" i="5"/>
  <c r="O107" i="8"/>
  <c r="O108" i="8"/>
  <c r="O109" i="8"/>
  <c r="O110" i="8"/>
  <c r="O111" i="8"/>
  <c r="O106" i="8"/>
  <c r="C101" i="4"/>
  <c r="C101" i="5" s="1"/>
  <c r="C102" i="4"/>
  <c r="C102" i="5" s="1"/>
  <c r="C33" i="4"/>
  <c r="C33" i="5" s="1"/>
  <c r="C32" i="4"/>
  <c r="C32" i="5" s="1"/>
  <c r="C89" i="4"/>
  <c r="C89" i="5" s="1"/>
  <c r="C88" i="4"/>
  <c r="C88" i="5" s="1"/>
  <c r="C90" i="4"/>
  <c r="C90" i="5" s="1"/>
  <c r="C85" i="5"/>
  <c r="C84" i="4"/>
  <c r="C84" i="5" s="1"/>
  <c r="C20" i="4"/>
  <c r="C20" i="5" s="1"/>
  <c r="C19" i="4"/>
  <c r="C19" i="5" s="1"/>
  <c r="O113" i="8"/>
  <c r="O112" i="8"/>
  <c r="O95" i="8"/>
  <c r="O94" i="8"/>
  <c r="D88" i="4" l="1"/>
  <c r="D88" i="5" s="1"/>
  <c r="D89" i="4"/>
  <c r="D89" i="5" s="1"/>
  <c r="D84" i="4"/>
  <c r="D84" i="5" s="1"/>
  <c r="D102" i="4"/>
  <c r="D85" i="4"/>
  <c r="D85" i="5" s="1"/>
  <c r="D90" i="4"/>
  <c r="D90" i="5" s="1"/>
  <c r="D101" i="4"/>
  <c r="D19" i="4"/>
  <c r="D19" i="5" s="1"/>
  <c r="D20" i="4"/>
  <c r="D20" i="5" s="1"/>
  <c r="C41" i="4"/>
  <c r="C41" i="5" s="1"/>
  <c r="C42" i="4"/>
  <c r="C42" i="5" s="1"/>
  <c r="C43" i="4"/>
  <c r="C43" i="5" s="1"/>
  <c r="C44" i="4"/>
  <c r="C44" i="5" s="1"/>
  <c r="C45" i="4"/>
  <c r="C45" i="5" s="1"/>
  <c r="E4" i="19"/>
  <c r="E2" i="1"/>
  <c r="D102" i="5" l="1"/>
  <c r="D101" i="5"/>
  <c r="F9" i="7"/>
  <c r="E9" i="7"/>
  <c r="E5" i="7"/>
  <c r="F10" i="7"/>
  <c r="F11" i="7"/>
  <c r="F12" i="7"/>
  <c r="F5" i="7"/>
  <c r="F6" i="7"/>
  <c r="F7" i="7"/>
  <c r="E8" i="7"/>
  <c r="F8" i="7"/>
  <c r="E6" i="7"/>
  <c r="E7" i="7"/>
  <c r="E10" i="7"/>
  <c r="E11" i="7"/>
  <c r="E12" i="7"/>
  <c r="D13" i="7"/>
  <c r="E13" i="7" l="1"/>
  <c r="E34" i="19" s="1"/>
  <c r="C77" i="4"/>
  <c r="C77" i="5" s="1"/>
  <c r="C78" i="4"/>
  <c r="C78" i="5" s="1"/>
  <c r="C79" i="4"/>
  <c r="C79" i="5" s="1"/>
  <c r="C76" i="4"/>
  <c r="C94" i="4"/>
  <c r="C94" i="5" s="1"/>
  <c r="C81" i="4"/>
  <c r="C81" i="5" s="1"/>
  <c r="C26" i="4"/>
  <c r="C26" i="5" s="1"/>
  <c r="C25" i="4"/>
  <c r="C25" i="5" s="1"/>
  <c r="C24" i="4"/>
  <c r="C24" i="5" s="1"/>
  <c r="C23" i="4"/>
  <c r="C23" i="5" s="1"/>
  <c r="C18" i="4"/>
  <c r="C18" i="5" s="1"/>
  <c r="C17" i="4"/>
  <c r="C16" i="4"/>
  <c r="C16" i="5" s="1"/>
  <c r="C15" i="4"/>
  <c r="C15" i="5" s="1"/>
  <c r="C14" i="4"/>
  <c r="C14" i="5" s="1"/>
  <c r="C13" i="4"/>
  <c r="C13" i="5" s="1"/>
  <c r="C12" i="4"/>
  <c r="C12" i="5" s="1"/>
  <c r="C11" i="4"/>
  <c r="C11" i="5" s="1"/>
  <c r="C10" i="4"/>
  <c r="C10" i="5" s="1"/>
  <c r="C9" i="4"/>
  <c r="C9" i="5" s="1"/>
  <c r="C8" i="4"/>
  <c r="C8" i="5" s="1"/>
  <c r="C7" i="4"/>
  <c r="C7" i="5" s="1"/>
  <c r="C6" i="4"/>
  <c r="C6" i="5" s="1"/>
  <c r="C5" i="4"/>
  <c r="C17" i="5" l="1"/>
  <c r="D17" i="4"/>
  <c r="D17" i="5" s="1"/>
  <c r="D79" i="4"/>
  <c r="D79" i="5" s="1"/>
  <c r="D81" i="4"/>
  <c r="D81" i="5" s="1"/>
  <c r="D94" i="4"/>
  <c r="D94" i="5" s="1"/>
  <c r="D78" i="4"/>
  <c r="D78" i="5" s="1"/>
  <c r="D77" i="4"/>
  <c r="D77" i="5" s="1"/>
  <c r="D76" i="4"/>
  <c r="D76" i="5" s="1"/>
  <c r="C76" i="5"/>
  <c r="D16" i="4"/>
  <c r="D16" i="5" s="1"/>
  <c r="D24" i="4"/>
  <c r="D24" i="5" s="1"/>
  <c r="D7" i="4"/>
  <c r="D7" i="5" s="1"/>
  <c r="D25" i="4"/>
  <c r="D25" i="5" s="1"/>
  <c r="D8" i="4"/>
  <c r="D8" i="5" s="1"/>
  <c r="D26" i="4"/>
  <c r="D26" i="5" s="1"/>
  <c r="D9" i="4"/>
  <c r="D9" i="5" s="1"/>
  <c r="D10" i="4"/>
  <c r="D10" i="5" s="1"/>
  <c r="D23" i="4"/>
  <c r="D23" i="5" s="1"/>
  <c r="D6" i="4"/>
  <c r="D6" i="5" s="1"/>
  <c r="D18" i="4"/>
  <c r="D18" i="5" s="1"/>
  <c r="D12" i="4"/>
  <c r="D12" i="5" s="1"/>
  <c r="D14" i="4"/>
  <c r="D14" i="5" s="1"/>
  <c r="D11" i="4"/>
  <c r="D11" i="5" s="1"/>
  <c r="D13" i="4"/>
  <c r="D13" i="5" s="1"/>
  <c r="D15" i="4"/>
  <c r="D15" i="5" s="1"/>
  <c r="D5" i="4"/>
  <c r="D5" i="5" s="1"/>
  <c r="C5" i="5"/>
  <c r="C28" i="4" l="1"/>
  <c r="C28" i="5" s="1"/>
  <c r="C29" i="4"/>
  <c r="C29" i="5" s="1"/>
  <c r="C30" i="4" l="1"/>
  <c r="C30" i="5" s="1"/>
  <c r="C31" i="4"/>
  <c r="C31" i="5" s="1"/>
  <c r="C99" i="4" l="1"/>
  <c r="C99" i="5" s="1"/>
  <c r="D99" i="4" l="1"/>
  <c r="D99" i="5" s="1"/>
  <c r="C93" i="4"/>
  <c r="C93" i="5" s="1"/>
  <c r="C71" i="4"/>
  <c r="C71" i="5" s="1"/>
  <c r="D93" i="4" l="1"/>
  <c r="D93" i="5" s="1"/>
  <c r="D71" i="4"/>
  <c r="D71" i="5" s="1"/>
  <c r="O82" i="8"/>
  <c r="O121" i="8" l="1"/>
  <c r="O99" i="8"/>
  <c r="O98" i="8"/>
  <c r="O97" i="8"/>
  <c r="O96" i="8"/>
  <c r="O104" i="8"/>
  <c r="O103" i="8"/>
  <c r="O102" i="8"/>
  <c r="O101" i="8"/>
  <c r="O92" i="8"/>
  <c r="O90" i="8"/>
  <c r="O89" i="8"/>
  <c r="O88" i="8"/>
  <c r="O87" i="8"/>
  <c r="O86" i="8"/>
  <c r="O85" i="8"/>
  <c r="O84" i="8"/>
  <c r="O83" i="8"/>
  <c r="O81" i="8"/>
  <c r="O80" i="8"/>
  <c r="O78" i="8"/>
  <c r="O76" i="8"/>
  <c r="F72" i="1"/>
  <c r="F71" i="1"/>
  <c r="F70" i="1"/>
  <c r="F69" i="1"/>
  <c r="F68" i="1"/>
  <c r="F67" i="1"/>
  <c r="F66" i="1"/>
  <c r="F58" i="1"/>
  <c r="F57" i="1"/>
  <c r="F56" i="1"/>
  <c r="F55" i="1"/>
  <c r="F54" i="1"/>
  <c r="F53" i="1"/>
  <c r="F52" i="1"/>
  <c r="F51" i="1"/>
  <c r="F49" i="1"/>
  <c r="F48" i="1"/>
  <c r="F47" i="1"/>
  <c r="F46" i="1"/>
  <c r="F45" i="1"/>
  <c r="F44" i="1"/>
  <c r="F43" i="1"/>
  <c r="F42" i="1"/>
  <c r="F41" i="1"/>
  <c r="F40" i="1"/>
  <c r="F39" i="1"/>
  <c r="F38" i="1"/>
  <c r="F37" i="1"/>
  <c r="F36" i="1"/>
  <c r="F35" i="1"/>
  <c r="F34" i="1"/>
  <c r="F33" i="1"/>
  <c r="F32" i="1"/>
  <c r="F31" i="1"/>
  <c r="F28" i="1"/>
  <c r="F27" i="1"/>
  <c r="F26" i="1"/>
  <c r="F25" i="1"/>
  <c r="F24" i="1"/>
  <c r="F23" i="1"/>
  <c r="F22" i="1"/>
  <c r="F21" i="1"/>
  <c r="F20" i="1"/>
  <c r="F19" i="1"/>
  <c r="F18" i="1"/>
  <c r="A2" i="4" l="1"/>
  <c r="A2" i="5"/>
  <c r="D2" i="4" a="1"/>
  <c r="D2" i="5" a="1"/>
  <c r="D2" i="5" l="1"/>
  <c r="D2" i="4"/>
  <c r="G49" i="1"/>
  <c r="G19" i="1"/>
  <c r="G18" i="1"/>
  <c r="G52" i="1"/>
  <c r="G67" i="1"/>
  <c r="G28" i="1"/>
  <c r="G40" i="1"/>
  <c r="G48" i="1"/>
  <c r="G51" i="1"/>
  <c r="G66" i="1"/>
  <c r="C37" i="7" l="1"/>
  <c r="E36" i="7"/>
  <c r="D36" i="7"/>
  <c r="E35" i="7"/>
  <c r="D35" i="7"/>
  <c r="E34" i="7"/>
  <c r="D34" i="7"/>
  <c r="E33" i="7"/>
  <c r="D33" i="7"/>
  <c r="E32" i="7"/>
  <c r="D32" i="7"/>
  <c r="E31" i="7"/>
  <c r="D31" i="7"/>
  <c r="E30" i="7"/>
  <c r="D30" i="7"/>
  <c r="E29" i="7"/>
  <c r="D29" i="7"/>
  <c r="C13" i="7"/>
  <c r="E37" i="7" l="1"/>
  <c r="D37" i="7"/>
  <c r="F13" i="7"/>
  <c r="E50" i="1" s="1"/>
  <c r="F50" i="1"/>
  <c r="E38" i="7"/>
  <c r="D38" i="7"/>
  <c r="G50" i="1" l="1"/>
  <c r="D98" i="4" l="1"/>
  <c r="D3" i="5"/>
  <c r="D98" i="5" l="1"/>
  <c r="G32" i="1" l="1"/>
  <c r="G43" i="1"/>
  <c r="G42" i="1"/>
  <c r="G55" i="1"/>
  <c r="G27" i="1"/>
  <c r="G31" i="1"/>
  <c r="G68" i="1"/>
  <c r="G34" i="1"/>
  <c r="G36" i="1"/>
  <c r="G71" i="1"/>
  <c r="G41" i="1"/>
  <c r="G54" i="1"/>
  <c r="G46" i="1"/>
  <c r="G47" i="1"/>
  <c r="G56" i="1"/>
  <c r="G38" i="1"/>
  <c r="G33" i="1"/>
  <c r="G26" i="1"/>
  <c r="G25" i="1"/>
  <c r="G21" i="1"/>
  <c r="G24" i="1"/>
  <c r="G44" i="1"/>
  <c r="G22" i="1"/>
  <c r="G72" i="1"/>
  <c r="G69" i="1"/>
  <c r="G35" i="1"/>
  <c r="G57" i="1"/>
  <c r="G20" i="1"/>
  <c r="G39" i="1"/>
  <c r="G45" i="1"/>
  <c r="G53" i="1"/>
  <c r="G23" i="1"/>
  <c r="G58" i="1"/>
  <c r="G37" i="1"/>
  <c r="G70" i="1"/>
  <c r="F6" i="19" l="1"/>
  <c r="D3" i="4" l="1"/>
  <c r="F4" i="1"/>
  <c r="E38" i="4"/>
  <c r="E107" i="5"/>
  <c r="E107" i="4"/>
  <c r="E38" i="5"/>
  <c r="F34" i="19"/>
  <c r="E116" i="4"/>
  <c r="E116" i="5"/>
  <c r="E112" i="5"/>
  <c r="E112" i="4"/>
  <c r="E111" i="5"/>
  <c r="E111" i="4"/>
  <c r="E114" i="5"/>
  <c r="E114" i="4"/>
  <c r="E113" i="4"/>
  <c r="E113" i="5"/>
  <c r="E102" i="5"/>
  <c r="E102" i="4"/>
  <c r="E101" i="5"/>
  <c r="E101" i="4"/>
  <c r="F65" i="1"/>
  <c r="E109" i="5"/>
  <c r="E109" i="4"/>
  <c r="E108" i="4"/>
  <c r="F64" i="1"/>
  <c r="E108" i="5"/>
  <c r="F63" i="1"/>
  <c r="E106" i="5"/>
  <c r="E106" i="4"/>
  <c r="E105" i="5"/>
  <c r="E105" i="4"/>
  <c r="F62" i="1"/>
  <c r="E104" i="5"/>
  <c r="F61" i="1"/>
  <c r="E104" i="4"/>
  <c r="E103" i="4"/>
  <c r="F60" i="1"/>
  <c r="E103" i="5"/>
  <c r="E70" i="4"/>
  <c r="E70" i="5"/>
  <c r="E69" i="4"/>
  <c r="E69" i="5"/>
  <c r="E68" i="4"/>
  <c r="E68" i="5"/>
  <c r="E62" i="4"/>
  <c r="E62" i="5"/>
  <c r="E61" i="5"/>
  <c r="E61" i="4"/>
  <c r="E60" i="4"/>
  <c r="E60" i="5"/>
  <c r="E99" i="5"/>
  <c r="E99" i="4"/>
  <c r="E100" i="4"/>
  <c r="E100" i="5"/>
  <c r="E97" i="5"/>
  <c r="E97" i="4"/>
  <c r="E96" i="4"/>
  <c r="E96" i="5"/>
  <c r="E79" i="5"/>
  <c r="E79" i="4"/>
  <c r="E78" i="5"/>
  <c r="E78" i="4"/>
  <c r="E77" i="4"/>
  <c r="E77" i="5"/>
  <c r="E76" i="4"/>
  <c r="E76" i="5"/>
  <c r="E74" i="5"/>
  <c r="E74" i="4"/>
  <c r="E73" i="4"/>
  <c r="E73" i="5"/>
  <c r="E72" i="5"/>
  <c r="E72" i="4"/>
  <c r="E71" i="5"/>
  <c r="E71" i="4"/>
  <c r="E67" i="4"/>
  <c r="E67" i="5"/>
  <c r="E66" i="4"/>
  <c r="E66" i="5"/>
  <c r="E65" i="4"/>
  <c r="E65" i="5"/>
  <c r="E64" i="5"/>
  <c r="E64" i="4"/>
  <c r="E59" i="4"/>
  <c r="E59" i="5"/>
  <c r="E58" i="4"/>
  <c r="E58" i="5"/>
  <c r="E57" i="5"/>
  <c r="E57" i="4"/>
  <c r="E56" i="5"/>
  <c r="E56" i="4"/>
  <c r="E55" i="4"/>
  <c r="E55" i="5"/>
  <c r="E52" i="4"/>
  <c r="E52" i="5"/>
  <c r="E51" i="4"/>
  <c r="E51" i="5"/>
  <c r="E50" i="4"/>
  <c r="E50" i="5"/>
  <c r="E49" i="4"/>
  <c r="E49" i="5"/>
  <c r="E48" i="4"/>
  <c r="E48" i="5"/>
  <c r="E47" i="5"/>
  <c r="E47" i="4"/>
  <c r="E46" i="4"/>
  <c r="E46" i="5"/>
  <c r="E95" i="5"/>
  <c r="E95" i="4"/>
  <c r="E80" i="5"/>
  <c r="E80" i="4"/>
  <c r="E93" i="4"/>
  <c r="E93" i="5"/>
  <c r="E81" i="5"/>
  <c r="E81" i="4"/>
  <c r="E92" i="5"/>
  <c r="F17" i="1"/>
  <c r="E92" i="4"/>
  <c r="F16" i="1"/>
  <c r="E91" i="4"/>
  <c r="E91" i="5"/>
  <c r="F15" i="1"/>
  <c r="E94" i="5"/>
  <c r="E94" i="4"/>
  <c r="E90" i="5"/>
  <c r="F14" i="1"/>
  <c r="E90" i="4"/>
  <c r="F13" i="1"/>
  <c r="E89" i="5"/>
  <c r="E89" i="4"/>
  <c r="E88" i="5"/>
  <c r="F12" i="1"/>
  <c r="E88" i="4"/>
  <c r="E87" i="4"/>
  <c r="E87" i="5"/>
  <c r="F11" i="1"/>
  <c r="E86" i="5"/>
  <c r="F10" i="1"/>
  <c r="E86" i="4"/>
  <c r="E85" i="5"/>
  <c r="E85" i="4"/>
  <c r="F9" i="1"/>
  <c r="E84" i="4"/>
  <c r="E84" i="5"/>
  <c r="F8" i="1"/>
  <c r="E83" i="5"/>
  <c r="F7" i="1"/>
  <c r="E83" i="4"/>
  <c r="F6" i="1"/>
  <c r="E82" i="5"/>
  <c r="E82" i="4"/>
  <c r="F49" i="19"/>
  <c r="F48" i="19"/>
  <c r="F47" i="19"/>
  <c r="F46" i="19"/>
  <c r="F45" i="19"/>
  <c r="F44" i="19"/>
  <c r="F43" i="19"/>
  <c r="F42" i="19"/>
  <c r="F41" i="19"/>
  <c r="F40" i="19"/>
  <c r="F39" i="19"/>
  <c r="F38" i="19"/>
  <c r="F37" i="19"/>
  <c r="F35" i="19"/>
  <c r="F33" i="19"/>
  <c r="F32" i="19"/>
  <c r="F31" i="19"/>
  <c r="E26" i="5"/>
  <c r="F30" i="19"/>
  <c r="E26" i="4"/>
  <c r="E25" i="5"/>
  <c r="F29" i="19"/>
  <c r="E25" i="4"/>
  <c r="E24" i="4"/>
  <c r="E24" i="5"/>
  <c r="F28" i="19"/>
  <c r="E23" i="5"/>
  <c r="F27" i="19"/>
  <c r="E23" i="4"/>
  <c r="E22" i="5"/>
  <c r="E22" i="4"/>
  <c r="F26" i="19"/>
  <c r="E21" i="4"/>
  <c r="F25" i="19"/>
  <c r="E21" i="5"/>
  <c r="E20" i="5"/>
  <c r="E20" i="4"/>
  <c r="F24" i="19"/>
  <c r="F23" i="19"/>
  <c r="E19" i="5"/>
  <c r="E19" i="4"/>
  <c r="F21" i="19"/>
  <c r="E18" i="4"/>
  <c r="E18" i="5"/>
  <c r="E17" i="5"/>
  <c r="F20" i="19"/>
  <c r="E17" i="4"/>
  <c r="E16" i="5"/>
  <c r="E16" i="4"/>
  <c r="F19" i="19"/>
  <c r="E15" i="5"/>
  <c r="F18" i="19"/>
  <c r="E15" i="4"/>
  <c r="E14" i="5"/>
  <c r="E14" i="4"/>
  <c r="F17" i="19"/>
  <c r="E13" i="4"/>
  <c r="E13" i="5"/>
  <c r="F16" i="19"/>
  <c r="F15" i="19"/>
  <c r="E12" i="5"/>
  <c r="E12" i="4"/>
  <c r="E11" i="5"/>
  <c r="E11" i="4"/>
  <c r="F14" i="19"/>
  <c r="F13" i="19"/>
  <c r="E10" i="4"/>
  <c r="E10" i="5"/>
  <c r="E9" i="4"/>
  <c r="F12" i="19"/>
  <c r="E9" i="5"/>
  <c r="F11" i="19"/>
  <c r="E8" i="5"/>
  <c r="E8" i="4"/>
  <c r="E7" i="5"/>
  <c r="E7" i="4"/>
  <c r="F10" i="19"/>
  <c r="E6" i="5"/>
  <c r="F9" i="19"/>
  <c r="E6" i="4"/>
  <c r="E5" i="4"/>
  <c r="F8" i="19"/>
  <c r="E5" i="5"/>
  <c r="E98" i="5"/>
  <c r="E98" i="4"/>
  <c r="F38" i="4" l="1"/>
  <c r="F38" i="5"/>
  <c r="F26" i="4"/>
  <c r="F12" i="4"/>
  <c r="F9" i="4"/>
  <c r="F7" i="4"/>
  <c r="F5" i="4"/>
  <c r="F55" i="4"/>
  <c r="F64" i="4"/>
  <c r="F76" i="4"/>
  <c r="F116" i="4"/>
  <c r="F113" i="4"/>
  <c r="F112" i="4"/>
  <c r="F111" i="4"/>
  <c r="F109" i="4"/>
  <c r="F108" i="4"/>
  <c r="F107" i="4"/>
  <c r="F103" i="4"/>
  <c r="F98" i="4"/>
  <c r="F96" i="4"/>
  <c r="F91" i="4"/>
  <c r="G49" i="19"/>
  <c r="G41" i="19"/>
  <c r="F107" i="5"/>
  <c r="D36" i="4" l="1"/>
  <c r="D35" i="4"/>
  <c r="D45" i="4"/>
  <c r="D37" i="4"/>
  <c r="D31" i="4"/>
  <c r="D39" i="4"/>
  <c r="D40" i="4"/>
  <c r="D30" i="4"/>
  <c r="D41" i="4"/>
  <c r="D42" i="4"/>
  <c r="D32" i="4"/>
  <c r="D44" i="4"/>
  <c r="D43" i="4"/>
  <c r="D34" i="4"/>
  <c r="D33" i="4"/>
  <c r="D29" i="4"/>
  <c r="D28" i="4"/>
  <c r="C27" i="4"/>
  <c r="E45" i="4"/>
  <c r="E44" i="4"/>
  <c r="E43" i="4"/>
  <c r="E42" i="4"/>
  <c r="E41" i="4"/>
  <c r="E33" i="4"/>
  <c r="E32" i="4"/>
  <c r="E40" i="4"/>
  <c r="E39" i="4"/>
  <c r="E37" i="4"/>
  <c r="E36" i="4"/>
  <c r="E35" i="4"/>
  <c r="E34" i="4"/>
  <c r="E31" i="4"/>
  <c r="E29" i="4"/>
  <c r="E28" i="4"/>
  <c r="E30" i="4"/>
  <c r="F39" i="4" l="1"/>
  <c r="F30" i="4"/>
  <c r="G13" i="1"/>
  <c r="G12" i="1"/>
  <c r="G11" i="1"/>
  <c r="G10" i="1"/>
  <c r="G9" i="1"/>
  <c r="G8" i="1"/>
  <c r="G7" i="1"/>
  <c r="G6" i="1"/>
  <c r="G17" i="1"/>
  <c r="G16" i="1"/>
  <c r="G15" i="1"/>
  <c r="G14" i="1"/>
  <c r="F69" i="4"/>
  <c r="F82" i="4"/>
  <c r="F72" i="4"/>
  <c r="G25" i="19"/>
  <c r="F15" i="5"/>
  <c r="G65" i="1"/>
  <c r="F92" i="5"/>
  <c r="F86" i="5"/>
  <c r="F68" i="5"/>
  <c r="F90" i="5"/>
  <c r="F64" i="5"/>
  <c r="F79" i="5"/>
  <c r="F103" i="5"/>
  <c r="F106" i="5"/>
  <c r="F8" i="5"/>
  <c r="G23" i="19"/>
  <c r="G10" i="19"/>
  <c r="G27" i="19"/>
  <c r="F68" i="4"/>
  <c r="F111" i="5"/>
  <c r="G16" i="19"/>
  <c r="F71" i="5"/>
  <c r="F48" i="4"/>
  <c r="F93" i="5"/>
  <c r="F13" i="4"/>
  <c r="F85" i="4"/>
  <c r="F62" i="4"/>
  <c r="F67" i="4"/>
  <c r="F57" i="4"/>
  <c r="F8" i="4"/>
  <c r="F15" i="4"/>
  <c r="G30" i="19"/>
  <c r="F62" i="5"/>
  <c r="G35" i="19"/>
  <c r="F83" i="5"/>
  <c r="G13" i="19"/>
  <c r="F87" i="5"/>
  <c r="F116" i="5"/>
  <c r="F56" i="5"/>
  <c r="G45" i="19"/>
  <c r="F112" i="5"/>
  <c r="F65" i="5"/>
  <c r="F89" i="5"/>
  <c r="G43" i="19"/>
  <c r="G64" i="1"/>
  <c r="F18" i="4"/>
  <c r="F55" i="5"/>
  <c r="F78" i="5"/>
  <c r="F86" i="4"/>
  <c r="F50" i="5"/>
  <c r="F74" i="4"/>
  <c r="F59" i="5"/>
  <c r="G28" i="19"/>
  <c r="F84" i="4"/>
  <c r="F93" i="4"/>
  <c r="F77" i="4"/>
  <c r="F14" i="4"/>
  <c r="F114" i="4"/>
  <c r="F96" i="5"/>
  <c r="F109" i="5"/>
  <c r="F105" i="5"/>
  <c r="G47" i="19"/>
  <c r="G15" i="19"/>
  <c r="G8" i="19"/>
  <c r="F78" i="4"/>
  <c r="F23" i="4"/>
  <c r="F20" i="4"/>
  <c r="F81" i="4"/>
  <c r="F66" i="4"/>
  <c r="F51" i="4"/>
  <c r="F98" i="5"/>
  <c r="F57" i="5"/>
  <c r="F49" i="5"/>
  <c r="F72" i="5"/>
  <c r="F48" i="5"/>
  <c r="F52" i="5"/>
  <c r="F101" i="5"/>
  <c r="G48" i="19"/>
  <c r="G17" i="19"/>
  <c r="F19" i="4"/>
  <c r="F95" i="4"/>
  <c r="F79" i="4"/>
  <c r="F100" i="4"/>
  <c r="F73" i="4"/>
  <c r="F12" i="5"/>
  <c r="F49" i="4"/>
  <c r="F77" i="5"/>
  <c r="G32" i="19"/>
  <c r="F47" i="4"/>
  <c r="F61" i="5"/>
  <c r="F73" i="5"/>
  <c r="F46" i="4"/>
  <c r="F90" i="4"/>
  <c r="F52" i="4"/>
  <c r="F89" i="4"/>
  <c r="F70" i="5"/>
  <c r="F70" i="4"/>
  <c r="F92" i="4"/>
  <c r="F80" i="4"/>
  <c r="F11" i="4"/>
  <c r="F7" i="5"/>
  <c r="F94" i="5"/>
  <c r="G34" i="19"/>
  <c r="F102" i="5"/>
  <c r="F82" i="5"/>
  <c r="F58" i="5"/>
  <c r="F6" i="5"/>
  <c r="F91" i="5"/>
  <c r="F20" i="5"/>
  <c r="G18" i="19"/>
  <c r="G62" i="1"/>
  <c r="F26" i="5"/>
  <c r="F51" i="5"/>
  <c r="G46" i="19"/>
  <c r="F17" i="4"/>
  <c r="F46" i="5"/>
  <c r="F59" i="4"/>
  <c r="G26" i="19"/>
  <c r="F71" i="4"/>
  <c r="G14" i="19"/>
  <c r="F25" i="5"/>
  <c r="F22" i="4"/>
  <c r="F56" i="4"/>
  <c r="F94" i="4"/>
  <c r="F50" i="4"/>
  <c r="F16" i="4"/>
  <c r="G61" i="1"/>
  <c r="G39" i="19"/>
  <c r="F80" i="5"/>
  <c r="G40" i="19"/>
  <c r="F10" i="5"/>
  <c r="G38" i="19"/>
  <c r="F9" i="5"/>
  <c r="F97" i="5"/>
  <c r="G42" i="19"/>
  <c r="F113" i="5"/>
  <c r="G9" i="19"/>
  <c r="F11" i="5"/>
  <c r="F24" i="4"/>
  <c r="F18" i="5"/>
  <c r="F25" i="4"/>
  <c r="F104" i="4"/>
  <c r="F61" i="4"/>
  <c r="F97" i="4"/>
  <c r="F101" i="4"/>
  <c r="F74" i="5"/>
  <c r="F105" i="4"/>
  <c r="F21" i="5"/>
  <c r="F84" i="5"/>
  <c r="G24" i="19"/>
  <c r="F22" i="5"/>
  <c r="F60" i="5"/>
  <c r="F99" i="5"/>
  <c r="F88" i="5"/>
  <c r="F24" i="5"/>
  <c r="F5" i="5"/>
  <c r="F83" i="4"/>
  <c r="F58" i="4"/>
  <c r="F69" i="5"/>
  <c r="F108" i="5"/>
  <c r="F21" i="4"/>
  <c r="F106" i="4"/>
  <c r="F65" i="4"/>
  <c r="F102" i="4"/>
  <c r="F10" i="4"/>
  <c r="F16" i="5"/>
  <c r="F17" i="5"/>
  <c r="G44" i="19"/>
  <c r="F95" i="5"/>
  <c r="F67" i="5"/>
  <c r="F81" i="5"/>
  <c r="F66" i="5"/>
  <c r="G29" i="19"/>
  <c r="G33" i="19"/>
  <c r="F6" i="4"/>
  <c r="F99" i="4"/>
  <c r="F88" i="4"/>
  <c r="F60" i="4"/>
  <c r="F85" i="5"/>
  <c r="G21" i="19"/>
  <c r="F47" i="5"/>
  <c r="G19" i="19"/>
  <c r="F14" i="5"/>
  <c r="G12" i="19"/>
  <c r="G63" i="1"/>
  <c r="F114" i="5"/>
  <c r="F100" i="5"/>
  <c r="F87" i="4"/>
  <c r="F19" i="5"/>
  <c r="F23" i="5"/>
  <c r="G20" i="19"/>
  <c r="G11" i="19"/>
  <c r="G37" i="19"/>
  <c r="F76" i="5"/>
  <c r="F13" i="5"/>
  <c r="F104" i="5"/>
  <c r="G60" i="1"/>
  <c r="G31" i="19"/>
  <c r="D42" i="5"/>
  <c r="F42" i="4"/>
  <c r="D30" i="5"/>
  <c r="D31" i="5"/>
  <c r="F31" i="4"/>
  <c r="D27" i="4"/>
  <c r="C27" i="5"/>
  <c r="F45" i="4"/>
  <c r="D45" i="5"/>
  <c r="F35" i="4"/>
  <c r="D35" i="5"/>
  <c r="D36" i="5"/>
  <c r="F36" i="4"/>
  <c r="D32" i="5"/>
  <c r="F32" i="4"/>
  <c r="D41" i="5"/>
  <c r="F41" i="4"/>
  <c r="D40" i="5"/>
  <c r="F40" i="4"/>
  <c r="D39" i="5"/>
  <c r="F37" i="4"/>
  <c r="D37" i="5"/>
  <c r="D28" i="5"/>
  <c r="F28" i="4"/>
  <c r="D29" i="5"/>
  <c r="F29" i="4"/>
  <c r="D33" i="5"/>
  <c r="F33" i="4"/>
  <c r="D34" i="5"/>
  <c r="F34" i="4"/>
  <c r="D43" i="5"/>
  <c r="F43" i="4"/>
  <c r="D44" i="5"/>
  <c r="F44" i="4"/>
  <c r="E45" i="5"/>
  <c r="E44" i="5"/>
  <c r="E43" i="5"/>
  <c r="E42" i="5"/>
  <c r="E41" i="5"/>
  <c r="E33" i="5"/>
  <c r="E32" i="5"/>
  <c r="E40" i="5"/>
  <c r="E39" i="5"/>
  <c r="E37" i="5"/>
  <c r="E36" i="5"/>
  <c r="E35" i="5"/>
  <c r="E34" i="5"/>
  <c r="E31" i="5"/>
  <c r="E29" i="5"/>
  <c r="E28" i="5"/>
  <c r="E27" i="4"/>
  <c r="E30" i="5"/>
  <c r="G73" i="1" l="1"/>
  <c r="G50" i="19"/>
  <c r="G74" i="1" s="1"/>
  <c r="F29" i="5"/>
  <c r="F42" i="5"/>
  <c r="F28" i="5"/>
  <c r="F36" i="5"/>
  <c r="F37" i="5"/>
  <c r="F35" i="5"/>
  <c r="F44" i="5"/>
  <c r="F39" i="5"/>
  <c r="F45" i="5"/>
  <c r="F43" i="5"/>
  <c r="F34" i="5"/>
  <c r="F40" i="5"/>
  <c r="D27" i="5"/>
  <c r="F27" i="4"/>
  <c r="F117" i="4" s="1"/>
  <c r="F118" i="4" s="1"/>
  <c r="F41" i="5"/>
  <c r="F31" i="5"/>
  <c r="F33" i="5"/>
  <c r="F32" i="5"/>
  <c r="F30" i="5"/>
  <c r="E27" i="5"/>
  <c r="G75" i="1" l="1"/>
  <c r="G76" i="1" s="1"/>
  <c r="G77" i="1" s="1"/>
  <c r="G51" i="19"/>
  <c r="G52" i="19" s="1"/>
  <c r="G53" i="19" s="1"/>
  <c r="G54" i="19" s="1"/>
  <c r="F27" i="5"/>
  <c r="F117" i="5" s="1"/>
  <c r="F118" i="5" l="1"/>
  <c r="F119" i="5" s="1"/>
  <c r="F119" i="4"/>
  <c r="F3" i="1" l="1" a="1"/>
  <c r="F3" i="1" s="1"/>
  <c r="F5" i="19" a="1"/>
  <c r="F5" i="1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Kostiantyn Vykhristenko</author>
    <author>Laura Suzana Scorei</author>
  </authors>
  <commentList>
    <comment ref="C8" authorId="0" shapeId="0" xr:uid="{D1094EAF-E87E-4164-BD8B-569BE98F07C4}">
      <text>
        <r>
          <rPr>
            <b/>
            <sz val="9"/>
            <color indexed="81"/>
            <rFont val="Tahoma"/>
            <family val="2"/>
            <charset val="204"/>
          </rPr>
          <t>Includes:
1 - Anti-ransomware, antimalware
2 - Detection and Response (EDR, XDR)
3 - RMM</t>
        </r>
      </text>
    </comment>
    <comment ref="C9" authorId="0" shapeId="0" xr:uid="{A7DD7ACD-993E-4BD0-A2C9-7940BEACEFBA}">
      <text>
        <r>
          <rPr>
            <b/>
            <sz val="9"/>
            <color indexed="81"/>
            <rFont val="Tahoma"/>
            <family val="2"/>
            <charset val="204"/>
          </rPr>
          <t>Includes:
1 - Email Security
2 - Security Posture Management</t>
        </r>
      </text>
    </comment>
    <comment ref="C10" authorId="0" shapeId="0" xr:uid="{695B5618-09E2-4832-B4E5-6EC0248BD7DF}">
      <text>
        <r>
          <rPr>
            <b/>
            <sz val="9"/>
            <color indexed="81"/>
            <rFont val="Tahoma"/>
            <family val="2"/>
          </rPr>
          <t>Includes:
1 - Email Security</t>
        </r>
        <r>
          <rPr>
            <sz val="9"/>
            <color indexed="81"/>
            <rFont val="Tahoma"/>
            <family val="2"/>
          </rPr>
          <t xml:space="preserve">
</t>
        </r>
      </text>
    </comment>
    <comment ref="C11" authorId="0" shapeId="0" xr:uid="{91AEF640-62AD-4850-8FED-FF3F50DE9A46}">
      <text>
        <r>
          <rPr>
            <b/>
            <sz val="9"/>
            <color indexed="81"/>
            <rFont val="Tahoma"/>
            <family val="2"/>
            <charset val="204"/>
          </rPr>
          <t>Includes:
1 - Backup of Server
2 - Disaster Recovery (per workload license, compute points and IP addresses are not included)
3 - 3 TB of Acronis Hosted Cloud Storage</t>
        </r>
        <r>
          <rPr>
            <sz val="9"/>
            <color indexed="81"/>
            <rFont val="Tahoma"/>
            <family val="2"/>
            <charset val="204"/>
          </rPr>
          <t xml:space="preserve">
</t>
        </r>
      </text>
    </comment>
    <comment ref="C12" authorId="0" shapeId="0" xr:uid="{EEECAF41-D748-4E8C-A535-339359F60568}">
      <text>
        <r>
          <rPr>
            <b/>
            <sz val="9"/>
            <color indexed="81"/>
            <rFont val="Tahoma"/>
            <family val="2"/>
          </rPr>
          <t>Includes:
1 - Backup of VM
2 - Disaster Recovery (per workload license, compute points and IP addresses are not included)
3 - 2 TB of Acronis Hosted Cloud Storage</t>
        </r>
        <r>
          <rPr>
            <sz val="9"/>
            <color indexed="81"/>
            <rFont val="Tahoma"/>
            <family val="2"/>
          </rPr>
          <t xml:space="preserve">
</t>
        </r>
      </text>
    </comment>
    <comment ref="C13" authorId="0" shapeId="0" xr:uid="{FC2F90EC-16FC-4FBB-AF5C-DB92EAC14A4A}">
      <text>
        <r>
          <rPr>
            <b/>
            <sz val="9"/>
            <color indexed="81"/>
            <rFont val="Tahoma"/>
            <family val="2"/>
          </rPr>
          <t>Includes:
1 - Backup of Workstation
2 - 300 GB of Acronis Hosted Cloud Storage</t>
        </r>
        <r>
          <rPr>
            <sz val="9"/>
            <color indexed="81"/>
            <rFont val="Tahoma"/>
            <family val="2"/>
          </rPr>
          <t xml:space="preserve">
</t>
        </r>
      </text>
    </comment>
    <comment ref="C14" authorId="0" shapeId="0" xr:uid="{D9930A71-E9A8-4AAB-B834-EBCF1E0D502D}">
      <text>
        <r>
          <rPr>
            <b/>
            <sz val="9"/>
            <color indexed="81"/>
            <rFont val="Tahoma"/>
            <family val="2"/>
          </rPr>
          <t>Includes:
1 - Microsoft 365 Backup
2 - Microsoft Entra ID Backup
3 - Microsoft 365 Email Archiving
4 - Unlimited Acronis Hosted Cloud Storage</t>
        </r>
        <r>
          <rPr>
            <sz val="9"/>
            <color indexed="81"/>
            <rFont val="Tahoma"/>
            <family val="2"/>
          </rPr>
          <t xml:space="preserve">
</t>
        </r>
      </text>
    </comment>
    <comment ref="C15" authorId="0" shapeId="0" xr:uid="{E10BDDC0-4855-47C4-918F-B8E606F4C357}">
      <text>
        <r>
          <rPr>
            <b/>
            <sz val="9"/>
            <color indexed="81"/>
            <rFont val="Tahoma"/>
            <family val="2"/>
          </rPr>
          <t>Includes:
1 - Google Workspace Backup
2 - Unlimited Acronis Hosted Cloud Storage</t>
        </r>
        <r>
          <rPr>
            <sz val="9"/>
            <color indexed="81"/>
            <rFont val="Tahoma"/>
            <family val="2"/>
          </rPr>
          <t xml:space="preserve">
</t>
        </r>
      </text>
    </comment>
    <comment ref="C16" authorId="0" shapeId="0" xr:uid="{6BC75332-2433-43DA-8C2C-144A338F5422}">
      <text>
        <r>
          <rPr>
            <b/>
            <sz val="9"/>
            <color indexed="81"/>
            <rFont val="Tahoma"/>
            <family val="2"/>
          </rPr>
          <t>Includes:
1. Website Backup
2. 50 GB of Acronis Hosted Cloud Storage</t>
        </r>
      </text>
    </comment>
    <comment ref="C17" authorId="0" shapeId="0" xr:uid="{7B17297F-A9D9-48D2-880F-42ADBB2ABBB4}">
      <text>
        <r>
          <rPr>
            <b/>
            <sz val="11"/>
            <color theme="1"/>
            <rFont val="Calibri"/>
            <family val="2"/>
            <scheme val="minor"/>
          </rPr>
          <t>Includes:
1 - Backup of Server
2 - Disaster Recovery (per workload license, compute points and IP addresses are not included)
3 - 3 TB of Acronis Hosted Cloud Storage
4 - Extended backup functionality
5 - Direct backup to public cloud
6 - Anti-ransomware, antimalware
7 - Detection and Response (EDR, XDR)
8 - Remote Management and Monitoring
9 - Gen AI Protection
10 - Data Loss Prevention</t>
        </r>
      </text>
    </comment>
    <comment ref="C18" authorId="0" shapeId="0" xr:uid="{A1B2707B-DC0F-448A-A177-4881FF0710E8}">
      <text>
        <r>
          <rPr>
            <b/>
            <sz val="11"/>
            <color theme="1"/>
            <rFont val="Calibri"/>
            <family val="2"/>
            <scheme val="minor"/>
          </rPr>
          <t>Includes:
1 - Backup of VM
2 - Disaster Recovery (per workload license, compute points and IP addresses are not included)
3 - 2 TB of Acronis Hosted Cloud Storage
4 - Extended backup functionality
5 - Direct backup to public cloud
6 - Anti-ransomware, antimalware
7 - Detection and Response (EDR, XDR)
8 - Remote Management and Monitoring
9 - Gen AI Protection
10 - Data Loss Prevention</t>
        </r>
      </text>
    </comment>
    <comment ref="C19" authorId="0" shapeId="0" xr:uid="{C5E81BA9-3011-4EBB-AD81-A0021334F992}">
      <text>
        <r>
          <rPr>
            <sz val="11"/>
            <color theme="1"/>
            <rFont val="Calibri"/>
            <family val="2"/>
            <charset val="204"/>
            <scheme val="minor"/>
          </rPr>
          <t>Includes:
1 - Backup of Workstation
2 - 300 GB of Acronis Hosted Cloud Storage
3 - Extended backup functionality
4 - Direct backup to public cloud
5 - Anti-ransomware, antimalware
6 - Detection and Response (EDR, XDR)
7 - Remote Management and Monitoring
8 - Gen AI Protection
9 - Data Loss Prevention</t>
        </r>
      </text>
    </comment>
    <comment ref="C20" authorId="0" shapeId="0" xr:uid="{E8B5BF8B-12DE-4DC8-9009-8407BAE33238}">
      <text>
        <r>
          <rPr>
            <b/>
            <sz val="9"/>
            <color indexed="81"/>
            <rFont val="Tahoma"/>
            <family val="2"/>
            <charset val="204"/>
          </rPr>
          <t>Includes:
1 - Microsoft 365 Backup
2 - Microsoft Entra ID Backup
3 - Unlimited Acronis Hosted Cloud Storage
4 - Advanced backup
5 - Microsoft 365 Email Archiving
6 - Email Security
7 - Colaboration Security
8 - Security Posture Management</t>
        </r>
      </text>
    </comment>
    <comment ref="C21" authorId="0" shapeId="0" xr:uid="{804E23FF-092F-44DF-BB0A-0BACB96F5860}">
      <text>
        <r>
          <rPr>
            <b/>
            <sz val="9"/>
            <color indexed="81"/>
            <rFont val="Tahoma"/>
            <family val="2"/>
            <charset val="204"/>
          </rPr>
          <t>Includes:
1 - Google Workspace Backup
2 - Unlimited Acronis Hosted Cloud Storage
3 - Advanced backup
4 - Email Security</t>
        </r>
      </text>
    </comment>
    <comment ref="B37" authorId="0" shapeId="0" xr:uid="{5A380C4E-7296-42E5-80AA-0AB574107DD4}">
      <text>
        <r>
          <rPr>
            <sz val="11"/>
            <color theme="1"/>
            <rFont val="Calibri"/>
            <family val="2"/>
            <charset val="204"/>
            <scheme val="minor"/>
          </rPr>
          <t>Cyber Frame Local provides protected infrastructure that includes Security, RMM, partner‑hosted Backup, and partner‑hosted Disaster Recovery (DR).
To use Acronis‑hosted backup storage, the Acronis Cloud Storage SKU must be added.
Acronis‑hosted DR is charged at the full Disaster Recovery price.</t>
        </r>
      </text>
    </comment>
    <comment ref="B38" authorId="0" shapeId="0" xr:uid="{E39C6767-CE89-4228-8531-D4BC33295F40}">
      <text>
        <r>
          <rPr>
            <sz val="11"/>
            <color theme="1"/>
            <rFont val="Calibri"/>
            <family val="2"/>
            <charset val="204"/>
            <scheme val="minor"/>
          </rPr>
          <t>Cyber Frame Local provides protected infrastructure that includes Security, RMM, partner‑hosted Backup, and partner‑hosted Disaster Recovery (DR).
To use Acronis‑hosted backup storage, the Acronis Cloud Storage SKU must be added.
Acronis‑hosted DR is charged at the full Disaster Recovery price.</t>
        </r>
      </text>
    </comment>
    <comment ref="C38" authorId="0" shapeId="0" xr:uid="{D9F05922-28D4-4BB4-AC89-39B4F6B51340}">
      <text>
        <r>
          <rPr>
            <b/>
            <sz val="9"/>
            <color indexed="81"/>
            <rFont val="Tahoma"/>
            <family val="2"/>
          </rPr>
          <t>Monthly price is calculated based on 730 hours. 
Actual charges may vary by month depending on the number of days in the billing period.</t>
        </r>
      </text>
    </comment>
    <comment ref="C39" authorId="0" shapeId="0" xr:uid="{CDF583B9-51D0-4E20-89ED-731BA1788CBB}">
      <text>
        <r>
          <rPr>
            <b/>
            <sz val="9"/>
            <color indexed="81"/>
            <rFont val="Tahoma"/>
            <family val="2"/>
          </rPr>
          <t>Monthly price is calculated based on 730 hours. 
Actual charges may vary by month depending on the number of days in the billing period.</t>
        </r>
        <r>
          <rPr>
            <sz val="9"/>
            <color indexed="81"/>
            <rFont val="Tahoma"/>
            <family val="2"/>
          </rPr>
          <t xml:space="preserve">
</t>
        </r>
      </text>
    </comment>
    <comment ref="C40" authorId="0" shapeId="0" xr:uid="{F179220D-DC7A-4AB8-A946-C43B994A8123}">
      <text>
        <r>
          <rPr>
            <b/>
            <sz val="9"/>
            <color indexed="81"/>
            <rFont val="Tahoma"/>
            <family val="2"/>
          </rPr>
          <t>Monthly price is calculated based on 730 hours. 
Actual charges may vary by month depending on the number of days in the billing period.</t>
        </r>
        <r>
          <rPr>
            <sz val="9"/>
            <color indexed="81"/>
            <rFont val="Tahoma"/>
            <family val="2"/>
          </rPr>
          <t xml:space="preserve">
</t>
        </r>
      </text>
    </comment>
    <comment ref="C41" authorId="0" shapeId="0" xr:uid="{9128418C-E7CC-4186-84C8-72806EBE9B9F}">
      <text>
        <r>
          <rPr>
            <b/>
            <sz val="9"/>
            <color indexed="81"/>
            <rFont val="Tahoma"/>
            <family val="2"/>
          </rPr>
          <t>Monthly price is calculated based on 730 hours. 
Actual charges may vary by month depending on the number of days in the billing period.</t>
        </r>
        <r>
          <rPr>
            <sz val="9"/>
            <color indexed="81"/>
            <rFont val="Tahoma"/>
            <family val="2"/>
          </rPr>
          <t xml:space="preserve">
</t>
        </r>
      </text>
    </comment>
    <comment ref="C42" authorId="0" shapeId="0" xr:uid="{31A04039-D5CF-42DA-A677-3346EE8A9245}">
      <text>
        <r>
          <rPr>
            <b/>
            <sz val="9"/>
            <color indexed="81"/>
            <rFont val="Tahoma"/>
            <family val="2"/>
          </rPr>
          <t>Monthly price is calculated based on 730 hours. 
Actual charges may vary by month depending on the number of days in the billing period.</t>
        </r>
      </text>
    </comment>
    <comment ref="C45" authorId="1" shapeId="0" xr:uid="{8D6351EB-F12B-4497-AA06-8DEC2E128BF8}">
      <text>
        <r>
          <rPr>
            <sz val="9"/>
            <color indexed="81"/>
            <rFont val="Tahoma"/>
            <family val="2"/>
            <charset val="238"/>
          </rPr>
          <t>In case of using SP Hosted Storage, partner will be charged for Acronis Cyber Infrastructure, too</t>
        </r>
      </text>
    </comment>
    <comment ref="C48" authorId="1" shapeId="0" xr:uid="{BBBFD9F4-1F84-4AAE-90C5-A103AFCE5045}">
      <text>
        <r>
          <rPr>
            <sz val="9"/>
            <color indexed="81"/>
            <rFont val="Tahoma"/>
            <family val="2"/>
            <charset val="238"/>
          </rPr>
          <t>In case of using SP Hosted Storage, partner will be charged for Acronis Cyber Infrastructure, too</t>
        </r>
      </text>
    </comment>
    <comment ref="C49" authorId="1" shapeId="0" xr:uid="{554B63BF-7191-4E4A-8E9B-89BD888C1589}">
      <text>
        <r>
          <rPr>
            <sz val="9"/>
            <color indexed="81"/>
            <rFont val="Tahoma"/>
            <family val="2"/>
            <charset val="238"/>
          </rPr>
          <t>Main cases when we charge for this item (Acronis Cyber Infrastructure):
 - iSCSI storage usage (e.g. datastore for VMware vSphere and Microsoft Hiper-V)
 - S3 storage usage (e.g. S3 object storage for Acronis Cyber Files Cloud or 3rd party backup solution in Client own data center using Acronis Cyber Infrastructure)
 - NFS storage usage (e.g File share)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Laura Suzana Scorei</author>
    <author>Kostiantyn Vykhristenko</author>
  </authors>
  <commentList>
    <comment ref="B22" authorId="0" shapeId="0" xr:uid="{6880A333-EC7D-4C6F-B108-111EDCC1704A}">
      <text>
        <r>
          <rPr>
            <sz val="9"/>
            <color indexed="81"/>
            <rFont val="Tahoma"/>
            <family val="2"/>
            <charset val="238"/>
          </rPr>
          <t>Includes unlimited usage for Service Provider Hosted and local storage</t>
        </r>
      </text>
    </comment>
    <comment ref="C26" authorId="0" shapeId="0" xr:uid="{78F6FD8A-7F2F-42FD-A4B2-0F77F7863A6B}">
      <text>
        <r>
          <rPr>
            <sz val="9"/>
            <color indexed="81"/>
            <rFont val="Tahoma"/>
            <family val="2"/>
            <charset val="238"/>
          </rPr>
          <t>Plesk, cPanel, DirectAdmin, Virtualmin, ISPmanager control panels installed.</t>
        </r>
      </text>
    </comment>
    <comment ref="C28" authorId="0" shapeId="0" xr:uid="{AD56097F-589A-4D85-81E2-E8787CB82359}">
      <text>
        <r>
          <rPr>
            <sz val="9"/>
            <color indexed="81"/>
            <rFont val="Tahoma"/>
            <family val="2"/>
            <charset val="238"/>
          </rPr>
          <t>Azure and Google Hosted Storage are not included into the price. This cloud storage usage will be billed separately.</t>
        </r>
      </text>
    </comment>
    <comment ref="C29" authorId="1" shapeId="0" xr:uid="{BB9BEF31-AEBD-4D9C-8EB2-693EBFC5A9F9}">
      <text>
        <r>
          <rPr>
            <sz val="9"/>
            <color indexed="81"/>
            <rFont val="Tahoma"/>
            <family val="2"/>
          </rPr>
          <t>Entra ID Backup is promotional and will be billed starting with December 2026 usage</t>
        </r>
      </text>
    </comment>
    <comment ref="F29" authorId="1" shapeId="0" xr:uid="{CB0AF326-A59F-44F2-B66E-0EFBC762C718}">
      <text>
        <r>
          <rPr>
            <b/>
            <sz val="9"/>
            <color indexed="81"/>
            <rFont val="Tahoma"/>
            <family val="2"/>
          </rPr>
          <t>Entra ID Backup is promotional and will be billed starting with December 2026 usage</t>
        </r>
      </text>
    </comment>
    <comment ref="C30" authorId="0" shapeId="0" xr:uid="{F6A47906-253C-46C2-A065-E8BF4D16ACB4}">
      <text>
        <r>
          <rPr>
            <b/>
            <sz val="9"/>
            <color indexed="81"/>
            <rFont val="Tahoma"/>
            <family val="2"/>
          </rPr>
          <t>Entra ID Backup is promotional and will be billed starting with December 2026 usage</t>
        </r>
      </text>
    </comment>
    <comment ref="F30" authorId="1" shapeId="0" xr:uid="{CEC288A6-7489-49D9-9DDA-A7DD6E7B1601}">
      <text>
        <r>
          <rPr>
            <b/>
            <sz val="9"/>
            <color indexed="81"/>
            <rFont val="Tahoma"/>
            <family val="2"/>
          </rPr>
          <t>Entra ID Backup is promotional and will be billed starting with December 2026 usage</t>
        </r>
        <r>
          <rPr>
            <sz val="9"/>
            <color indexed="81"/>
            <rFont val="Tahoma"/>
            <family val="2"/>
          </rPr>
          <t xml:space="preserve">
</t>
        </r>
      </text>
    </comment>
    <comment ref="C32" authorId="0" shapeId="0" xr:uid="{8A03B5F5-69B4-4D6C-BC33-5EC12495668A}">
      <text>
        <r>
          <rPr>
            <sz val="9"/>
            <color indexed="81"/>
            <rFont val="Tahoma"/>
            <family val="2"/>
            <charset val="238"/>
          </rPr>
          <t>Azure and Google Hosted Storage are not included into the price. This cloud storage usage will be billed separately.</t>
        </r>
      </text>
    </comment>
    <comment ref="C40" authorId="1" shapeId="0" xr:uid="{9C074DB7-E170-4A51-A17D-C37E5160D512}">
      <text>
        <r>
          <rPr>
            <b/>
            <sz val="10"/>
            <color indexed="81"/>
            <rFont val="Tahoma"/>
            <family val="2"/>
            <charset val="204"/>
          </rPr>
          <t>&lt;&lt;Microsoft 365 Backup Storage&gt;&gt;</t>
        </r>
        <r>
          <rPr>
            <sz val="10"/>
            <color indexed="81"/>
            <rFont val="Tahoma"/>
            <family val="2"/>
            <charset val="204"/>
          </rPr>
          <t xml:space="preserve">
Backup storage provided by Microsoft in their DC. Billed per GB, available for both Per GB and Per Workload models</t>
        </r>
      </text>
    </comment>
    <comment ref="C54" authorId="0" shapeId="0" xr:uid="{BF51EEFA-6318-4AAB-87CF-AFCAAA4EC6A7}">
      <text>
        <r>
          <rPr>
            <sz val="9"/>
            <color indexed="81"/>
            <rFont val="Tahoma"/>
            <family val="2"/>
            <charset val="238"/>
          </rPr>
          <t>Azure and Google Hosted Storage are not included into the price. This cloud storage usage will be billed separately.</t>
        </r>
      </text>
    </comment>
    <comment ref="B60" authorId="1" shapeId="0" xr:uid="{27C472BC-86AB-4D18-A6A7-E725E7B27F2D}">
      <text>
        <r>
          <rPr>
            <b/>
            <sz val="11"/>
            <color theme="1"/>
            <rFont val="Calibri"/>
            <family val="2"/>
            <scheme val="minor"/>
          </rPr>
          <t>Cyber Frame Local provides protected infrastructure that includes Security, RMM, partner‑hosted Backup, and partner‑hosted Disaster Recovery (DR).
To use Acronis‑hosted backup storage, the Acronis Cloud Storage SKU must be added.
Acronis‑hosted DR is charged at the full Disaster Recovery price.</t>
        </r>
      </text>
    </comment>
    <comment ref="B61" authorId="1" shapeId="0" xr:uid="{BF1C6DEA-0AF3-4B81-8ED2-2C7F5838BA64}">
      <text>
        <r>
          <rPr>
            <b/>
            <sz val="11"/>
            <color theme="1"/>
            <rFont val="Calibri"/>
            <family val="2"/>
            <scheme val="minor"/>
          </rPr>
          <t>Cyber Frame Cloud provides protected infrastructure that includes Security, RMM, partner‑hosted Backup, and partner‑hosted Disaster Recovery (DR).
To use Acronis‑hosted backup storage, the Acronis Cloud Storage SKU must be added.
Acronis‑hosted DR is charged at the full Disaster Recovery price.</t>
        </r>
      </text>
    </comment>
    <comment ref="C61" authorId="1" shapeId="0" xr:uid="{A49110C1-CBB9-4076-AC3E-33A5864E3346}">
      <text>
        <r>
          <rPr>
            <b/>
            <sz val="9"/>
            <color indexed="81"/>
            <rFont val="Tahoma"/>
            <family val="2"/>
          </rPr>
          <t>Monthly price is calculated based on 730 hours. 
Actual charges may vary by month depending on the number of days in the billing period.</t>
        </r>
      </text>
    </comment>
    <comment ref="C62" authorId="1" shapeId="0" xr:uid="{5ABD1D71-66BD-4794-BF65-8895AF21C58B}">
      <text>
        <r>
          <rPr>
            <b/>
            <sz val="9"/>
            <color indexed="81"/>
            <rFont val="Tahoma"/>
            <family val="2"/>
          </rPr>
          <t>Monthly price is calculated based on 730 hours. 
Actual charges may vary by month depending on the number of days in the billing period.</t>
        </r>
        <r>
          <rPr>
            <sz val="9"/>
            <color indexed="81"/>
            <rFont val="Tahoma"/>
            <family val="2"/>
          </rPr>
          <t xml:space="preserve">
</t>
        </r>
      </text>
    </comment>
    <comment ref="C63" authorId="1" shapeId="0" xr:uid="{71B38F8E-061E-4E9F-BFBC-3205A124BE79}">
      <text>
        <r>
          <rPr>
            <b/>
            <sz val="9"/>
            <color indexed="81"/>
            <rFont val="Tahoma"/>
            <family val="2"/>
          </rPr>
          <t>Monthly price is calculated based on 730 hours. 
Actual charges may vary by month depending on the number of days in the billing period.</t>
        </r>
        <r>
          <rPr>
            <sz val="9"/>
            <color indexed="81"/>
            <rFont val="Tahoma"/>
            <family val="2"/>
          </rPr>
          <t xml:space="preserve">
</t>
        </r>
      </text>
    </comment>
    <comment ref="C64" authorId="1" shapeId="0" xr:uid="{8DB25C39-19F3-47F9-BF48-71FD7C019031}">
      <text>
        <r>
          <rPr>
            <b/>
            <sz val="9"/>
            <color indexed="81"/>
            <rFont val="Tahoma"/>
            <family val="2"/>
          </rPr>
          <t>Monthly price is calculated based on 730 hours. 
Actual charges may vary by month depending on the number of days in the billing period.</t>
        </r>
        <r>
          <rPr>
            <sz val="9"/>
            <color indexed="81"/>
            <rFont val="Tahoma"/>
            <family val="2"/>
          </rPr>
          <t xml:space="preserve">
</t>
        </r>
      </text>
    </comment>
    <comment ref="C65" authorId="1" shapeId="0" xr:uid="{519D0FF1-4B02-41A0-A3E4-A13C06C7A881}">
      <text>
        <r>
          <rPr>
            <b/>
            <sz val="9"/>
            <color indexed="81"/>
            <rFont val="Tahoma"/>
            <family val="2"/>
          </rPr>
          <t>Monthly price is calculated based on 730 hours. 
Actual charges may vary by month depending on the number of days in the billing period.</t>
        </r>
      </text>
    </comment>
    <comment ref="C68" authorId="0" shapeId="0" xr:uid="{04BEE5CD-7FA4-48B4-8C61-ECDEB9F0D3B3}">
      <text>
        <r>
          <rPr>
            <sz val="9"/>
            <color indexed="81"/>
            <rFont val="Tahoma"/>
            <family val="2"/>
            <charset val="238"/>
          </rPr>
          <t>In case of using SP Hosted Storage, partner will be charged for Acronis Cyber Infrastructure, too</t>
        </r>
      </text>
    </comment>
    <comment ref="C71" authorId="0" shapeId="0" xr:uid="{8B9AC28C-C78D-4217-ABC6-397DFF791A80}">
      <text>
        <r>
          <rPr>
            <sz val="9"/>
            <color indexed="81"/>
            <rFont val="Tahoma"/>
            <family val="2"/>
            <charset val="238"/>
          </rPr>
          <t>In case of using SP Hosted Storage, partner will be charged for Acronis Cyber Infrastructure, too</t>
        </r>
      </text>
    </comment>
    <comment ref="C72" authorId="0" shapeId="0" xr:uid="{E180AF47-0E8C-4E51-827A-03AC7966EDC2}">
      <text>
        <r>
          <rPr>
            <sz val="9"/>
            <color indexed="81"/>
            <rFont val="Tahoma"/>
            <family val="2"/>
            <charset val="238"/>
          </rPr>
          <t>Main cases when we charge for this item (Acronis Cyber Infrastructure):
 - iSCSI storage usage (e.g. datastore for VMware vSphere and Microsoft Hiper-V)
 - S3 storage usage (e.g. S3 object storage for Acronis Cyber Files Cloud or 3rd party backup solution in Client own data center using Acronis Cyber Infrastructure)
 - NFS storage usage (e.g File share)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<sst xmlns="http://schemas.openxmlformats.org/spreadsheetml/2006/main" count="1062" uniqueCount="585">
  <si>
    <t>Currency</t>
  </si>
  <si>
    <t>USD</t>
  </si>
  <si>
    <t>Calculator type</t>
  </si>
  <si>
    <t>Solution-based Licensing</t>
  </si>
  <si>
    <t xml:space="preserve">1. Choose Minimum commitment: </t>
  </si>
  <si>
    <r>
      <t xml:space="preserve">2. Choose </t>
    </r>
    <r>
      <rPr>
        <b/>
        <u/>
        <sz val="12"/>
        <color theme="0"/>
        <rFont val="Arial"/>
        <family val="2"/>
      </rPr>
      <t>Datacenter Group</t>
    </r>
    <r>
      <rPr>
        <b/>
        <sz val="12"/>
        <color theme="0"/>
        <rFont val="Arial"/>
        <family val="2"/>
      </rPr>
      <t xml:space="preserve">: </t>
    </r>
  </si>
  <si>
    <t>G1</t>
  </si>
  <si>
    <t>3. Input data for endpoints to be protected (Solution-based Licensing):</t>
  </si>
  <si>
    <t>Stand-alone capabilities</t>
  </si>
  <si>
    <t>Quantity</t>
  </si>
  <si>
    <t>Price per unit (monthly)</t>
  </si>
  <si>
    <t>Total cost</t>
  </si>
  <si>
    <t>Security + RMM</t>
  </si>
  <si>
    <t># Endpoint Security (Servers, VMs, Workstations)</t>
  </si>
  <si>
    <t>Yes</t>
  </si>
  <si>
    <t># Microsoft 365 Security</t>
  </si>
  <si>
    <t># Google Workspace Security</t>
  </si>
  <si>
    <t>Backup + DR</t>
  </si>
  <si>
    <t># BDR Server (3 TB of Acronis Hosted Storage included)</t>
  </si>
  <si>
    <t># BDR Virtual Machine (2 TB of Acronis Hosted Storage included)</t>
  </si>
  <si>
    <t># BDR Workstation (300 GB of Acronis Hosted Storage included)</t>
  </si>
  <si>
    <t># Microsoft 365 Backup + Archiving (unlimited Acronis Hosted Cloud Storage included*)</t>
  </si>
  <si>
    <t># Google Workspace Backup (unlimited Acronis Hosted Cloud Storage included*)</t>
  </si>
  <si>
    <t># Mobile Backup (50 GB od Acronis Hosted Storage included)</t>
  </si>
  <si>
    <t>Ultimate Protection</t>
  </si>
  <si>
    <t># Ultimate Server (3 TB of Acronis Hosted Storage included)</t>
  </si>
  <si>
    <t># Ultimate Virtual Machine (2 TB of Acronis Hosted Storage included)</t>
  </si>
  <si>
    <t># Ultimate Workstation (300 GB of Acronis Hosted Storage included)</t>
  </si>
  <si>
    <t># Ultimate Microsoft 365 (unlimited Acronis Hosted Cloud Storage included*)</t>
  </si>
  <si>
    <t># Ultimate Google Workspace (unlimited Acronis Hosted Cloud Storage included*)</t>
  </si>
  <si>
    <t>4. Input data for endpoints to be protected (Additional Services):</t>
  </si>
  <si>
    <t>Managed Detection and Response</t>
  </si>
  <si>
    <t># Standard In-house MDR Workloads for Solution-Base Licensing, Partner-level (Servers, VMs, Workstations, Hosting Servers)</t>
  </si>
  <si>
    <t>Requires Security+RMM or Ultimate Protection</t>
  </si>
  <si>
    <t># Advanced In-house MDR Workloads for Solution-Base Licensing, Partner-level (Servers, VMs, Workstations, Hosting Servers)</t>
  </si>
  <si>
    <t># Standard In-house MDR Workloads for Solution-Base Licensing, Customer-level (Servers, VMs, Workstations, Hosting Servers)</t>
  </si>
  <si>
    <t># Advanced In-house MDR Workloads for Solution-Base Licensing, Customer-level (Servers, VMs, Workstations, Hosting Servers)</t>
  </si>
  <si>
    <t># Standard 3rd Party MDR Workloads for Solution-Base Licensing (Servers, VMs, Workstations, Hosting Servers)</t>
  </si>
  <si>
    <t># Advanced 3rd Party MDR Workloads for Solution-Base Licensing (Servers, VMs, Workstations, Hosting Servers)</t>
  </si>
  <si>
    <t>Security Awareness Training</t>
  </si>
  <si>
    <t># Security Awareness Training for Solution-based Licensing (Users)</t>
  </si>
  <si>
    <t>Additional Storage</t>
  </si>
  <si>
    <t>Acronis Cloud Storage at Acronis Datacenter (for Solution-based Licensing overages)</t>
  </si>
  <si>
    <t>Requires BDR or Ultimate Protection</t>
  </si>
  <si>
    <t>Geo-replication</t>
  </si>
  <si>
    <t>Solution-based licensing - Backup Geo-redundant - Acronis Hosted Storage</t>
  </si>
  <si>
    <t>Solution-based licensing - # Geo-redundant Microsoft 365 seat (unlimited Acronis Hosted Cloud Storage included*)</t>
  </si>
  <si>
    <t>Solution-based licensing - # Geo-redundant Google Workspace seat (unlimited Acronis Hosted Cloud Storage included*)</t>
  </si>
  <si>
    <t>Disaster Recovery Infrastructure</t>
  </si>
  <si>
    <t>Monthly Compute Point Consumption for BDR/Ultimate</t>
  </si>
  <si>
    <t>Public IPs for BDR/Ultimate</t>
  </si>
  <si>
    <t>5. Input data for Cyber Frame, Cyber Workspace, FSS, ACI and Archival Storage</t>
  </si>
  <si>
    <t>Cyber Frame</t>
  </si>
  <si>
    <t>Cyber Frame Local</t>
  </si>
  <si>
    <t># Physical Cores, Standard Support Included</t>
  </si>
  <si>
    <t>Cyber Frame Cloud</t>
  </si>
  <si>
    <t># Used Standard vCPUs</t>
  </si>
  <si>
    <t># GB of used Standard RAM</t>
  </si>
  <si>
    <t>Cyber Frame Cloud Block Storage</t>
  </si>
  <si>
    <t># Public IPs for Cyber Frame Cloud</t>
  </si>
  <si>
    <t># Windows Licenses (per licensed vCPU)</t>
  </si>
  <si>
    <t>Cyber Workspace</t>
  </si>
  <si>
    <t>Cyber Employee</t>
  </si>
  <si>
    <t># Cyber Employee Agents</t>
  </si>
  <si>
    <t># Cyber Employee Usage Units</t>
  </si>
  <si>
    <t>Cyber Files Cloud</t>
  </si>
  <si>
    <t>Per User</t>
  </si>
  <si>
    <t># of Cyber Files Users</t>
  </si>
  <si>
    <t>Cyber Files Cloud Acronis Hosted Storage (for per User Model)</t>
  </si>
  <si>
    <t xml:space="preserve"> Per GB</t>
  </si>
  <si>
    <t>Cyber Files Cloud Acronis Hosted Storage (for per GB Model)</t>
  </si>
  <si>
    <t>Acronis Cyber Infrastructure</t>
  </si>
  <si>
    <t>Storage Required for S3/iSCSI/NFS/Compute (Per GB)</t>
  </si>
  <si>
    <t>Solution-based licensing Monthly cost</t>
  </si>
  <si>
    <t>Service-based licensing Monthly cost</t>
  </si>
  <si>
    <t>Total monthly cost (no commitment applied)</t>
  </si>
  <si>
    <t>Monthly cost</t>
  </si>
  <si>
    <t>Yearly cost</t>
  </si>
  <si>
    <t>* based on the fair usage policy: https://www.acronis.com/en-us/company/licensing/</t>
  </si>
  <si>
    <t>Service-based Licensing</t>
  </si>
  <si>
    <t>1. Choose Minimum commitment:</t>
  </si>
  <si>
    <t>2. Choose Datacenter Group:</t>
  </si>
  <si>
    <t>3. Input data for endpoints and storage to be protected (Service-based Licensing):</t>
  </si>
  <si>
    <t>Endpoint Security</t>
  </si>
  <si>
    <t># Endpoint Detection and Response (EDR) Workloads (Servers, VMs, Workstations, Hosting Servers)</t>
  </si>
  <si>
    <t># Extended Detection and Response (XDR) Workloads (Servers, VMs, Workstations, Hosting Servers)</t>
  </si>
  <si>
    <t># In-house MDR Workloads - Standard - Partner-level (Servers, VMs, Workstations, Hosting Servers)</t>
  </si>
  <si>
    <t>Requires EDR/XDR</t>
  </si>
  <si>
    <t># In-house MDR Workloads - Advanced - Partner-level (Servers, VMs, Workstations, Hosting Servers)</t>
  </si>
  <si>
    <t># In-house MDR Workloads - Standard - Customer-level (Servers, VMs, Workstations, Hosting Servers)</t>
  </si>
  <si>
    <t># In-house MDR Workloads - Advanced - Customer-level (Servers, VMs, Workstations, Hosting Servers)</t>
  </si>
  <si>
    <t># 3rd Party MDR Workloads - Standard (Servers, VMs, Workstations, Hosting Servers)</t>
  </si>
  <si>
    <t># 3rd Party MDR Workloads - Advanced (Servers, VMs, Workstations, Hosting Servers)</t>
  </si>
  <si>
    <t># Gen AI Protection Workloads</t>
  </si>
  <si>
    <t># Data Loss Prevention Workloads (Servers, VMs, Workstations, Hosting Servers)</t>
  </si>
  <si>
    <t>SaaS Security</t>
  </si>
  <si>
    <t># Email Security Users</t>
  </si>
  <si>
    <t># Collaboration Security Users</t>
  </si>
  <si>
    <t># SaaS Security Posture Management Workloads (Microsoft 365 Seats)</t>
  </si>
  <si>
    <t># Security Awareness Training (Users)</t>
  </si>
  <si>
    <t>RMM</t>
  </si>
  <si>
    <t># Remote Monitoring and Management (RMM) Workloads (Servers, VMs, Workstations, Hosting Servers)</t>
  </si>
  <si>
    <t>PSA</t>
  </si>
  <si>
    <t># Professional Services Automation (PSA) users (3 minimum)</t>
  </si>
  <si>
    <t>Backup</t>
  </si>
  <si>
    <t>Per Workload</t>
  </si>
  <si>
    <t># Physical Servers</t>
  </si>
  <si>
    <t># Network Attached Storage</t>
  </si>
  <si>
    <t># Virtual Machines</t>
  </si>
  <si>
    <t># Workstations</t>
  </si>
  <si>
    <t># Hosting Servers</t>
  </si>
  <si>
    <t># Microsoft 365 Seats (unlimited Acronis Hosted Cloud Storage included*)</t>
  </si>
  <si>
    <t># Microsoft 365 Seats (for SP/Customer/Azure/Google Hosted Storage)</t>
  </si>
  <si>
    <t># Entra ID Seats (unlimited Acronis Hosted Cloud Storage included*)</t>
  </si>
  <si>
    <t># Entra ID Seats (for SP/Azure/Google Hosted Storage)</t>
  </si>
  <si>
    <t># Google Workspace Seats (unlimited Acronis Hosted Cloud Storage included*)</t>
  </si>
  <si>
    <t># Google Workspace Seats (for SP/Azure/Google Hosted Storage)</t>
  </si>
  <si>
    <t># Mobile Devices</t>
  </si>
  <si>
    <t>Acronis Cloud Storage at Acronis Datacenter (for Per Workload model)</t>
  </si>
  <si>
    <t>Acronis Cloud Storage at Azure/Google datacenters (for Per Workload model)</t>
  </si>
  <si>
    <t>Per GB</t>
  </si>
  <si>
    <t>Acronis Cloud Storage at Acronis Datacenter (for Per GB model)</t>
  </si>
  <si>
    <t>Acronis Cloud Storage at Azure/Google datacenters (for Per GB model)</t>
  </si>
  <si>
    <t>Cloud - Service Provider Hosted Storage</t>
  </si>
  <si>
    <t>Customer Storage</t>
  </si>
  <si>
    <t>Microsoft 365 Backup from Microsoft</t>
  </si>
  <si>
    <t>Microsoft 365 Backup Storage powered by Microsoft (per GB, for both per GB and per workload models)</t>
  </si>
  <si>
    <t>Per GB/Workload model - Backup Geo-redundant - Acronis Hosted Storage</t>
  </si>
  <si>
    <t>Requires Backup</t>
  </si>
  <si>
    <t>Per Workload model - # Geo-redundant Microsoft 365 seat (unlimited Acronis Hosted Cloud Storage included*)</t>
  </si>
  <si>
    <t>Per Workload model - # Geo-redundant Google Workspace seat (unlimited Acronis Hosted Cloud Storage included*)</t>
  </si>
  <si>
    <t>Direct Backup to Public Cloud</t>
  </si>
  <si>
    <t># Direct Backup to Public Cloud, Physical Servers</t>
  </si>
  <si>
    <t># Direct Backup to Public Cloud, Virtual Machines</t>
  </si>
  <si>
    <t># Direct Backup to Public Cloud, Workstations</t>
  </si>
  <si>
    <t># Direct Backup to Public Cloud, Hosting Servers</t>
  </si>
  <si>
    <t>Disaster Recovery</t>
  </si>
  <si>
    <t>Disaster Recovery Cloud Storage - Acronis Hosted</t>
  </si>
  <si>
    <t>Disaster Recovery Cloud Storage - Service Provider Hosted</t>
  </si>
  <si>
    <t>Monthly Compute Point Consumption (tests)</t>
  </si>
  <si>
    <t>Public IPs</t>
  </si>
  <si>
    <t># DR and Direct Backup to Azure workloads</t>
  </si>
  <si>
    <t>Email Archiving</t>
  </si>
  <si>
    <t xml:space="preserve"> Per Workload</t>
  </si>
  <si>
    <t># Microsoft 365 Archiving Seats (with unlimited Acronis Hosted Cloud storage*)</t>
  </si>
  <si>
    <t># Microsoft 365 Archiving Seats (for SP/Azure/Google Hosted storage)</t>
  </si>
  <si>
    <t>Acronis Cloud Storage for Email Archiving at Azure/Google datacenters (for Per Workload model)</t>
  </si>
  <si>
    <t>Acronis Cloud Storage for Email Archiving at Acronis Datacenter (for Per GB model)</t>
  </si>
  <si>
    <t>Email Archiving Cloud Storage - Service Provider Hosted</t>
  </si>
  <si>
    <t>Acronis Cloud Storage for Email Archiving at Azure/Google datacenters (for Per GB model)</t>
  </si>
  <si>
    <t>4. Input data for Cyber Workspace, FSS, ACI and Archival Storage</t>
  </si>
  <si>
    <t>Acronis Cyber
Files Cloud</t>
  </si>
  <si>
    <t>Cyber Files Cloud Service Provider Hosted Storage</t>
  </si>
  <si>
    <t>Group</t>
  </si>
  <si>
    <t>SKU Name</t>
  </si>
  <si>
    <t>DC group</t>
  </si>
  <si>
    <t>SKU</t>
  </si>
  <si>
    <t>Commitment 1</t>
  </si>
  <si>
    <t>Commitment 2</t>
  </si>
  <si>
    <t>Commitment 3</t>
  </si>
  <si>
    <t>Commitment 4</t>
  </si>
  <si>
    <t>Commitment 5</t>
  </si>
  <si>
    <t>Commitment 6</t>
  </si>
  <si>
    <t>Commitment 7</t>
  </si>
  <si>
    <t>Commitment 8</t>
  </si>
  <si>
    <t>This is master version. Other pricelists should do vlookup with this one (and add any SKUs afterwards, if SKU not present in US)</t>
  </si>
  <si>
    <t>Solution- based  Licensing</t>
  </si>
  <si>
    <t>Security + RMM - WL - Endpoint - Acronis Cyber Protect Cloud</t>
  </si>
  <si>
    <t>All</t>
  </si>
  <si>
    <t>SESDMSENS</t>
  </si>
  <si>
    <t>Security + RMM - WL - Microsoft 365 seat  - Acronis Cyber Protect Cloud</t>
  </si>
  <si>
    <t>SESEMSENS</t>
  </si>
  <si>
    <t>Security + RMM - WL - Google Workspace seat - Acronis Cyber Protect Cloud</t>
  </si>
  <si>
    <t>SESFMSENS</t>
  </si>
  <si>
    <t>Backup and Disaster Recovery</t>
  </si>
  <si>
    <t>G1 DC group</t>
  </si>
  <si>
    <t>BDR - WL - Server (3 TB of Acronis Hosted Storage included) - G1 - Acronis Cyber Protect Cloud</t>
  </si>
  <si>
    <t>SBDAMSENS</t>
  </si>
  <si>
    <t>BDR - WL - VM (2 TB of Acronis Hosted Storage included) - G1 - Acronis Cyber Protect Cloud</t>
  </si>
  <si>
    <t>SBDBMSENS</t>
  </si>
  <si>
    <t>BDR - WL - Workstation (300 GB of Acronis Hosted Storage included) - G1 - Acronis Cyber Protect Cloud</t>
  </si>
  <si>
    <t>SBDCMSENS</t>
  </si>
  <si>
    <r>
      <t>BDR - WL - Microsoft 365 seat (unlimited Acronis Hosted Cloud Storage included</t>
    </r>
    <r>
      <rPr>
        <vertAlign val="superscript"/>
        <sz val="11"/>
        <color theme="1"/>
        <rFont val="Calibri"/>
        <family val="2"/>
        <scheme val="minor"/>
      </rPr>
      <t>1</t>
    </r>
    <r>
      <rPr>
        <sz val="11"/>
        <color theme="1"/>
        <rFont val="Calibri"/>
        <family val="2"/>
        <charset val="204"/>
        <scheme val="minor"/>
      </rPr>
      <t>) - G1 - Acronis Cyber Protect Cloud</t>
    </r>
  </si>
  <si>
    <t>SBDDMSENS</t>
  </si>
  <si>
    <r>
      <t>BDR - WL - Google Workspace seat (unlimited Acronis Hosted Cloud Storage included</t>
    </r>
    <r>
      <rPr>
        <vertAlign val="superscript"/>
        <sz val="11"/>
        <color theme="1"/>
        <rFont val="Calibri"/>
        <family val="2"/>
        <scheme val="minor"/>
      </rPr>
      <t>1</t>
    </r>
    <r>
      <rPr>
        <sz val="11"/>
        <color theme="1"/>
        <rFont val="Calibri"/>
        <family val="2"/>
        <charset val="204"/>
        <scheme val="minor"/>
      </rPr>
      <t>) - G1 - Acronis Cyber Protect Cloud</t>
    </r>
  </si>
  <si>
    <t>SBDEMSENS</t>
  </si>
  <si>
    <t>BDR - WL - Mobile Backup (50 GB of Acronis Hosted Storage included) - G1 - Acronis Cyber Protect Cloud</t>
  </si>
  <si>
    <t>SBDGMSENS</t>
  </si>
  <si>
    <t>G2 DC group</t>
  </si>
  <si>
    <t>BDR - WL - Server (3 TB of Acronis Hosted Storage included) - G2 - Acronis Cyber Protect Cloud</t>
  </si>
  <si>
    <t>G2</t>
  </si>
  <si>
    <t>SBDHMSENS</t>
  </si>
  <si>
    <t>BDR - WL - VM (2 TB of Acronis Hosted Storage included) - G2 - Acronis Cyber Protect Cloud</t>
  </si>
  <si>
    <t>SBDIMSENS</t>
  </si>
  <si>
    <t>BDR - WL - Workstation (300 GB of Acronis Hosted Storage included) - G2 - Acronis Cyber Protect Cloud</t>
  </si>
  <si>
    <t>SBDJMSENS</t>
  </si>
  <si>
    <r>
      <t>BDR - WL - Microsoft 365 seat (unlimited Acronis Hosted Cloud Storage included</t>
    </r>
    <r>
      <rPr>
        <vertAlign val="superscript"/>
        <sz val="11"/>
        <color theme="1"/>
        <rFont val="Calibri"/>
        <family val="2"/>
        <scheme val="minor"/>
      </rPr>
      <t>1</t>
    </r>
    <r>
      <rPr>
        <sz val="11"/>
        <color theme="1"/>
        <rFont val="Calibri"/>
        <family val="2"/>
        <charset val="204"/>
        <scheme val="minor"/>
      </rPr>
      <t>) - G2 - Acronis Cyber Protect Cloud</t>
    </r>
  </si>
  <si>
    <t>SBDKMSENS</t>
  </si>
  <si>
    <r>
      <t>BDR - WL - Google Workspace seat (unlimited Acronis Hosted Cloud Storage included</t>
    </r>
    <r>
      <rPr>
        <vertAlign val="superscript"/>
        <sz val="11"/>
        <color theme="1"/>
        <rFont val="Calibri"/>
        <family val="2"/>
        <scheme val="minor"/>
      </rPr>
      <t>1</t>
    </r>
    <r>
      <rPr>
        <sz val="11"/>
        <color theme="1"/>
        <rFont val="Calibri"/>
        <family val="2"/>
        <charset val="204"/>
        <scheme val="minor"/>
      </rPr>
      <t>) - G2 - Acronis Cyber Protect Cloud</t>
    </r>
  </si>
  <si>
    <t>SBDLMSENS</t>
  </si>
  <si>
    <t>BDR - WL - Mobile Backup (50 GB of Acronis Hosted Storage included) - G2 - Acronis Cyber Protect Cloud</t>
  </si>
  <si>
    <t>SBDNMSENS</t>
  </si>
  <si>
    <t>Ultimate Protection - WL - Server (3 TB of Acronis Hosted Storage included) - G1 - Acronis Cyber Protect Cloud</t>
  </si>
  <si>
    <t>SUPCMSENS</t>
  </si>
  <si>
    <t>Ultimate Protection - WL - VM (2 TB of Acronis Hosted Storage included) - G1 - Acronis Cyber Protect Cloud</t>
  </si>
  <si>
    <t>SUPDMSENS</t>
  </si>
  <si>
    <t>Ultimate Protection - WL - Workstation (300 GB of Acronis Hosted Storage included) - G1 - Acronis Cyber Protect Cloud</t>
  </si>
  <si>
    <t>SUPEMSENS</t>
  </si>
  <si>
    <r>
      <t>Ultimate Protection - WL - Microsoft 365 seat (unlimited Acronis Hosted Cloud Storage included</t>
    </r>
    <r>
      <rPr>
        <vertAlign val="superscript"/>
        <sz val="11"/>
        <color theme="1"/>
        <rFont val="Calibri"/>
        <family val="2"/>
        <scheme val="minor"/>
      </rPr>
      <t>1</t>
    </r>
    <r>
      <rPr>
        <sz val="11"/>
        <color theme="1"/>
        <rFont val="Calibri"/>
        <family val="2"/>
        <charset val="204"/>
        <scheme val="minor"/>
      </rPr>
      <t>) - G1 - Acronis Cyber Protect Cloud</t>
    </r>
  </si>
  <si>
    <t>SUPFMSENS</t>
  </si>
  <si>
    <r>
      <t>Ultimate Protection - WL - Google Workspace seat (unlimited Acronis Hosted Cloud Storage included</t>
    </r>
    <r>
      <rPr>
        <vertAlign val="superscript"/>
        <sz val="11"/>
        <color theme="1"/>
        <rFont val="Calibri"/>
        <family val="2"/>
        <scheme val="minor"/>
      </rPr>
      <t>1</t>
    </r>
    <r>
      <rPr>
        <sz val="11"/>
        <color theme="1"/>
        <rFont val="Calibri"/>
        <family val="2"/>
        <charset val="204"/>
        <scheme val="minor"/>
      </rPr>
      <t>) - G1 - Acronis Cyber Protect Cloud</t>
    </r>
  </si>
  <si>
    <t>SUPGMSENS</t>
  </si>
  <si>
    <t>Ultimate Protection - WL - Server (3 TB of Acronis Hosted Storage included) - G2 - Acronis Cyber Protect Cloud</t>
  </si>
  <si>
    <t>SUPHMSENS</t>
  </si>
  <si>
    <t>Ultimate Protection - WL - VM (2 TB of Acronis Hosted Storage included) - G2 - Acronis Cyber Protect Cloud</t>
  </si>
  <si>
    <t>SUPIMSENS</t>
  </si>
  <si>
    <t>Ultimate Protection - WL - Workstation (300 GB of Acronis Hosted Storage included) - G2 - Acronis Cyber Protect Cloud</t>
  </si>
  <si>
    <t>SUPJMSENS</t>
  </si>
  <si>
    <r>
      <t>Ultimate Protection - WL - Microsoft 365 seat (unlimited Acronis Hosted Cloud Storage included</t>
    </r>
    <r>
      <rPr>
        <vertAlign val="superscript"/>
        <sz val="11"/>
        <color theme="1"/>
        <rFont val="Calibri"/>
        <family val="2"/>
        <scheme val="minor"/>
      </rPr>
      <t>1</t>
    </r>
    <r>
      <rPr>
        <sz val="11"/>
        <color theme="1"/>
        <rFont val="Calibri"/>
        <family val="2"/>
        <charset val="204"/>
        <scheme val="minor"/>
      </rPr>
      <t>) - G2 - Acronis Cyber Protect Cloud</t>
    </r>
  </si>
  <si>
    <t>SUPKMSENS</t>
  </si>
  <si>
    <r>
      <t>Ultimate Protection - WL - Google Workspace seat (unlimited Acronis Hosted Cloud Storage included</t>
    </r>
    <r>
      <rPr>
        <vertAlign val="superscript"/>
        <sz val="11"/>
        <color theme="1"/>
        <rFont val="Calibri"/>
        <family val="2"/>
        <scheme val="minor"/>
      </rPr>
      <t>1</t>
    </r>
    <r>
      <rPr>
        <sz val="11"/>
        <color theme="1"/>
        <rFont val="Calibri"/>
        <family val="2"/>
        <charset val="204"/>
        <scheme val="minor"/>
      </rPr>
      <t>) - G2 - Acronis Cyber Protect Cloud</t>
    </r>
  </si>
  <si>
    <t>SUPLMSENS</t>
  </si>
  <si>
    <t>Solution-based Licensing - WL - Managed Detection and Response by Acronis TRU - Partner-level - Standard - Acronis Cyber Protect Cloud</t>
  </si>
  <si>
    <t>SRS8MSENS</t>
  </si>
  <si>
    <t>Solution-based Licensing - WL - Managed Detection and Response by Acronis TRU - Partner-level - Advanced - Acronis Cyber Protect Cloud</t>
  </si>
  <si>
    <t>SRS9MSENS</t>
  </si>
  <si>
    <t>Solution-based Licensing - WL - Managed Detection and Response by Acronis TRU - Customer-level - Standard - Acronis Cyber Protect Cloud</t>
  </si>
  <si>
    <t>SRSVMSENS</t>
  </si>
  <si>
    <t>Solution-based Licensing - WL - Managed Detection and Response by Acronis TRU - Customer-level - Advanced - Acronis Cyber Protect Cloud</t>
  </si>
  <si>
    <t>SRSWMSENS</t>
  </si>
  <si>
    <t xml:space="preserve">Solution-based Licensing - WL - Managed Detection and Response - 3rd party - Standard - Acronis Cyber Protect Cloud          </t>
  </si>
  <si>
    <t>SRS6MSENS</t>
  </si>
  <si>
    <t>Solution-based Licensing - WL - Managed Detection and Response - 3rd party - Advanced - Acronis Cyber Protect Cloud          </t>
  </si>
  <si>
    <t>SRS7MSENS</t>
  </si>
  <si>
    <t>Solution-based Licensing - Security Awareness Training (per user) - Acronis Cyber Protect Cloud</t>
  </si>
  <si>
    <t>SBSTFNLOS</t>
  </si>
  <si>
    <t>Solution-based Licensing - Acronis Hosted Storage (per GB) - G1 - Acronis Cyber Protect Cloud</t>
  </si>
  <si>
    <t>SPSAMSENS</t>
  </si>
  <si>
    <t>Solution-based Licensing - Acronis Hosted Storage (per GB) - G2 - Acronis Cyber Protect Cloud</t>
  </si>
  <si>
    <t>SPS2MSENS</t>
  </si>
  <si>
    <t>Geo-Replication</t>
  </si>
  <si>
    <r>
      <t xml:space="preserve">Solution-based Licensing - Geo-redundant - GB - Acronis Hosted Storage - G1 - Acronis Cyber Protect Cloud </t>
    </r>
    <r>
      <rPr>
        <vertAlign val="superscript"/>
        <sz val="11"/>
        <color theme="1"/>
        <rFont val="Calibri"/>
        <family val="2"/>
        <scheme val="minor"/>
      </rPr>
      <t>4</t>
    </r>
  </si>
  <si>
    <t>SPSGMSENS</t>
  </si>
  <si>
    <r>
      <t>Solution-based Licensing - Geo-redundant - WL - Microsoft 365 seat (unlimited Acronis Hosted Cloud storage</t>
    </r>
    <r>
      <rPr>
        <vertAlign val="superscript"/>
        <sz val="11"/>
        <color theme="1"/>
        <rFont val="Calibri"/>
        <family val="2"/>
        <scheme val="minor"/>
      </rPr>
      <t>1</t>
    </r>
    <r>
      <rPr>
        <sz val="11"/>
        <color theme="1"/>
        <rFont val="Calibri"/>
        <family val="2"/>
        <scheme val="minor"/>
      </rPr>
      <t xml:space="preserve">) - G1 - Acronis Cyber Protect Cloud </t>
    </r>
    <r>
      <rPr>
        <vertAlign val="superscript"/>
        <sz val="11"/>
        <color theme="1"/>
        <rFont val="Calibri"/>
        <family val="2"/>
        <scheme val="minor"/>
      </rPr>
      <t>4</t>
    </r>
  </si>
  <si>
    <t>SRSGMSENS</t>
  </si>
  <si>
    <r>
      <t>Solution-based Licensing - Geo-redundant - WL - Google Workspace seat (unlimited Acronis Hosted Cloud storage</t>
    </r>
    <r>
      <rPr>
        <vertAlign val="superscript"/>
        <sz val="11"/>
        <color theme="1"/>
        <rFont val="Calibri"/>
        <family val="2"/>
        <scheme val="minor"/>
      </rPr>
      <t>1</t>
    </r>
    <r>
      <rPr>
        <sz val="11"/>
        <color theme="1"/>
        <rFont val="Calibri"/>
        <family val="2"/>
        <scheme val="minor"/>
      </rPr>
      <t>) - G1 - Acronis Cyber Protect Cloud</t>
    </r>
    <r>
      <rPr>
        <sz val="11"/>
        <color theme="1"/>
        <rFont val="Calibri"/>
        <family val="2"/>
        <scheme val="minor"/>
      </rPr>
      <t xml:space="preserve"> </t>
    </r>
    <r>
      <rPr>
        <vertAlign val="superscript"/>
        <sz val="11"/>
        <color theme="1"/>
        <rFont val="Calibri"/>
        <family val="2"/>
        <scheme val="minor"/>
      </rPr>
      <t>4</t>
    </r>
  </si>
  <si>
    <t>SQSGMSENS</t>
  </si>
  <si>
    <t>Solution-based Licensing - Disaster Recovery - Acronis Hosted - 1 compute point (per running hour) - Acronis Cyber Protect Cloud</t>
  </si>
  <si>
    <t>SQSAMSENS</t>
  </si>
  <si>
    <t>Solution-based Licensing - Disaster Recovery - Acronis Hosted Public IP address - Acronis Cyber Protect Cloud</t>
  </si>
  <si>
    <t>SQSBMSENS</t>
  </si>
  <si>
    <t>Service- based Licensing</t>
  </si>
  <si>
    <t>Endpoint Detection and Response (EDR) - WL -  Acronis Cyber Protect Cloud</t>
  </si>
  <si>
    <t>SRIAMSENS</t>
  </si>
  <si>
    <t>Extended Detection and Response (XDR) - WL - Acronis Cyber Protect Cloud</t>
  </si>
  <si>
    <t>SRXAMSENS</t>
  </si>
  <si>
    <t>Managed Detection and Response (MDR) by Acronis TRU - Partner-level - Standard - WL - Acronis Cyber Protect Cloud</t>
  </si>
  <si>
    <t>SRI8MSENS</t>
  </si>
  <si>
    <t>Managed Detection and Response (MDR) by Acronis TRU - Partner-level - Advanced - WL - Acronis Cyber Protect Cloud</t>
  </si>
  <si>
    <t>SRI9MSENS</t>
  </si>
  <si>
    <t>Managed Detection and Response (MDR) by Acronis TRU - Customer-level - Standard - WL - Acronis Cyber Protect Cloud</t>
  </si>
  <si>
    <t>SRIVMSENS</t>
  </si>
  <si>
    <t>Managed Detection and Response (MDR) by Acronis TRU - Customer-level - Advanced - WL - Acronis Cyber Protect Cloud</t>
  </si>
  <si>
    <t>SRIWMSENS</t>
  </si>
  <si>
    <t xml:space="preserve">Managed Detection and Response (MDR) - 3rd party - Standard - WL - Acronis Cyber Protect Cloud    </t>
  </si>
  <si>
    <t>SRI6MSENS</t>
  </si>
  <si>
    <t>Managed Detection and Response (MDR) - 3rd party - Advanced - WL - Acronis Cyber Protect Cloud          </t>
  </si>
  <si>
    <t>SRI7MSENS</t>
  </si>
  <si>
    <t>GenAI Protection - WL - Acronis Cyber Protect Cloud</t>
  </si>
  <si>
    <t>SRIUMSENS</t>
  </si>
  <si>
    <t>Data Loss Prevention (DLP) - Endpoint - Acronis Cyber Protect Cloud</t>
  </si>
  <si>
    <t>SRI5MSENS</t>
  </si>
  <si>
    <t>M365 and SaaS Security</t>
  </si>
  <si>
    <t>Email Security - User - Acronis Cyber Protect Cloud</t>
  </si>
  <si>
    <t>SO4AMSENS</t>
  </si>
  <si>
    <t>Collaboration Security for Microsoft 365 - User - Acronis Cyber Protect Cloud</t>
  </si>
  <si>
    <t>SO6AMSENS</t>
  </si>
  <si>
    <t>Security Posture Management - Microsoft 365 seat - Acronis Cyber Protect Cloud</t>
  </si>
  <si>
    <t>SRMAMSENS</t>
  </si>
  <si>
    <t>Security Awareness Training - User - Acronis Cyber Protect Cloud</t>
  </si>
  <si>
    <t>SBATFNLOS</t>
  </si>
  <si>
    <t>Remote Monitoring 
and Management</t>
  </si>
  <si>
    <t>Remote Monitoring and Management  (RMM) - Endpoint - Acronis Cyber Protect Cloud</t>
  </si>
  <si>
    <t>SRHAMSENS</t>
  </si>
  <si>
    <t>Professional Services Automation</t>
  </si>
  <si>
    <t>Professional Services Automation (PSA) - User - Acronis Cyber Protect Cloud</t>
  </si>
  <si>
    <t>SQACMSENS</t>
  </si>
  <si>
    <t>Backup - WL - Server - Acronis Cyber Protect Cloud</t>
  </si>
  <si>
    <t>SPEAMSENS</t>
  </si>
  <si>
    <t>Backup - WL - NAS - Acronis Cyber Protect Cloud</t>
  </si>
  <si>
    <t>SPD5MSENS</t>
  </si>
  <si>
    <t>Backup - WL - VM - Acronis Cyber Protect Cloud</t>
  </si>
  <si>
    <t>SPFAMSENS</t>
  </si>
  <si>
    <t>Backup - WL - Workstation - Acronis Cyber Protect Cloud</t>
  </si>
  <si>
    <t>SPGAMSENS</t>
  </si>
  <si>
    <t>Backup - WL - Hosting Server - Acronis Cyber Protect Cloud</t>
  </si>
  <si>
    <t>SQ7AMSENS</t>
  </si>
  <si>
    <r>
      <rPr>
        <sz val="11"/>
        <color rgb="FF000000"/>
        <rFont val="Calibri"/>
        <family val="2"/>
        <scheme val="minor"/>
      </rPr>
      <t>Backup - WL - Microsoft 365 seat (with unlimited Acronis Hosted Cloud storage</t>
    </r>
    <r>
      <rPr>
        <vertAlign val="superscript"/>
        <sz val="11"/>
        <color rgb="FF000000"/>
        <rFont val="Calibri"/>
        <family val="2"/>
        <scheme val="minor"/>
      </rPr>
      <t>1</t>
    </r>
    <r>
      <rPr>
        <sz val="11"/>
        <color rgb="FF000000"/>
        <rFont val="Calibri"/>
        <family val="2"/>
        <scheme val="minor"/>
      </rPr>
      <t>) - G1 - Acronis Cyber Protect Cloud</t>
    </r>
  </si>
  <si>
    <t>SRJAMSENS</t>
  </si>
  <si>
    <r>
      <rPr>
        <sz val="11"/>
        <color rgb="FF000000"/>
        <rFont val="Calibri"/>
        <family val="2"/>
        <scheme val="minor"/>
      </rPr>
      <t>Backup - WL - Microsoft 365 seat (with unlimited Acronis Hosted Cloud storage</t>
    </r>
    <r>
      <rPr>
        <vertAlign val="superscript"/>
        <sz val="11"/>
        <color rgb="FF000000"/>
        <rFont val="Calibri"/>
        <family val="2"/>
        <scheme val="minor"/>
      </rPr>
      <t>1</t>
    </r>
    <r>
      <rPr>
        <sz val="11"/>
        <color rgb="FF000000"/>
        <rFont val="Calibri"/>
        <family val="2"/>
        <scheme val="minor"/>
      </rPr>
      <t>) - G2 - Acronis Cyber Protect Cloud</t>
    </r>
  </si>
  <si>
    <t>SRJ2MSENS</t>
  </si>
  <si>
    <t>Backup - WL - Microsoft 365 seat (for SP/Customer/Azure/Google Hosted storage) - Acronis Cyber Protect Cloud</t>
  </si>
  <si>
    <t>SRAAMSENS</t>
  </si>
  <si>
    <r>
      <t>Backup - WL - Microsoft Entra ID seat (with unlimited Acronis Hosted Cloud storage</t>
    </r>
    <r>
      <rPr>
        <vertAlign val="superscript"/>
        <sz val="11"/>
        <rFont val="Calibri"/>
        <family val="2"/>
        <scheme val="minor"/>
      </rPr>
      <t>1</t>
    </r>
    <r>
      <rPr>
        <sz val="11"/>
        <rFont val="Calibri"/>
        <family val="2"/>
        <scheme val="minor"/>
      </rPr>
      <t>) - Acronis Cyber Protect Cloud</t>
    </r>
    <r>
      <rPr>
        <vertAlign val="superscript"/>
        <sz val="11"/>
        <rFont val="Calibri"/>
        <family val="2"/>
        <scheme val="minor"/>
      </rPr>
      <t>2</t>
    </r>
  </si>
  <si>
    <t>SRJEMSENS</t>
  </si>
  <si>
    <r>
      <rPr>
        <sz val="11"/>
        <color rgb="FF000000"/>
        <rFont val="Calibri"/>
        <family val="2"/>
      </rPr>
      <t>Backup - WL - Microsoft Entra ID seat (for SP/Azure/Google Hosted storage) - Acronis Cyber Protect Cloud</t>
    </r>
    <r>
      <rPr>
        <vertAlign val="superscript"/>
        <sz val="11"/>
        <color rgb="FF000000"/>
        <rFont val="Calibri"/>
        <family val="2"/>
      </rPr>
      <t>2</t>
    </r>
  </si>
  <si>
    <t>SRAEMSENS</t>
  </si>
  <si>
    <r>
      <t>Backup - WL - Google Workspace seat (with unlimited Acronis Hosted Cloud storage</t>
    </r>
    <r>
      <rPr>
        <vertAlign val="superscript"/>
        <sz val="11"/>
        <color theme="1"/>
        <rFont val="Calibri"/>
        <family val="2"/>
        <scheme val="minor"/>
      </rPr>
      <t>1</t>
    </r>
    <r>
      <rPr>
        <sz val="11"/>
        <color theme="1"/>
        <rFont val="Calibri"/>
        <family val="2"/>
        <scheme val="minor"/>
      </rPr>
      <t>) - G1 - Acronis Cyber Protect Cloud</t>
    </r>
  </si>
  <si>
    <t>SQ8AMSENS</t>
  </si>
  <si>
    <r>
      <t>Backup - WL - Google Workspace seat (with unlimited Acronis Hosted Cloud storage</t>
    </r>
    <r>
      <rPr>
        <vertAlign val="superscript"/>
        <sz val="11"/>
        <color theme="1"/>
        <rFont val="Calibri"/>
        <family val="2"/>
        <scheme val="minor"/>
      </rPr>
      <t>1</t>
    </r>
    <r>
      <rPr>
        <sz val="11"/>
        <color theme="1"/>
        <rFont val="Calibri"/>
        <family val="2"/>
        <scheme val="minor"/>
      </rPr>
      <t>) - G2 - Acronis Cyber Protect Cloud</t>
    </r>
  </si>
  <si>
    <t>SQ82MSENS</t>
  </si>
  <si>
    <t>Backup - WL - Google Workspace seat (for SP/Azure/Google Hosted storage) - Acronis Cyber Protect Cloud</t>
  </si>
  <si>
    <t>SQBPMSENS</t>
  </si>
  <si>
    <t>Backup - WL - Mobile - Acronis Cyber Protect Cloud</t>
  </si>
  <si>
    <t>SRBAMSENS</t>
  </si>
  <si>
    <t>Backup - WL - Acronis Hosted Storage for per Workload model (per GB) - G1 - Acronis Cyber Protect Cloud</t>
  </si>
  <si>
    <t>SPDAMSENS</t>
  </si>
  <si>
    <t>Backup - WL - Acronis Hosted Storage for per Workload model (per GB) - G2 - Acronis Cyber Protect Cloud</t>
  </si>
  <si>
    <t>SPD2MSENS</t>
  </si>
  <si>
    <t>Backup - WL - Google Hosted Storage for per Workload model (per GB) - Acronis Cyber Protect Cloud</t>
  </si>
  <si>
    <t>SPXAMSENS</t>
  </si>
  <si>
    <t>Backup - WL - Azure Hosted Storage for per Workload model (per GB) - Acronis Cyber Protect Cloud</t>
  </si>
  <si>
    <t>SQ1AMSENS</t>
  </si>
  <si>
    <t>Backup - GB - Acronis Hosted Storage (per GB) - G1 - Acronis Cyber Protect Cloud</t>
  </si>
  <si>
    <t>SPBAMSENS</t>
  </si>
  <si>
    <t>Backup - GB - Acronis Hosted Storage (per GB) - G2 - Acronis Cyber Protect Cloud</t>
  </si>
  <si>
    <t>SPB2MSENS</t>
  </si>
  <si>
    <t>Backup - GB - Google Hosted Storage (per GB) - Acronis Cyber Protect Cloud</t>
  </si>
  <si>
    <t>SP3AMSENS</t>
  </si>
  <si>
    <t>Backup - GB - Azure Hosted Storage (per GB) - Acronis Cyber Protect Cloud</t>
  </si>
  <si>
    <t>SQ2AMSENS</t>
  </si>
  <si>
    <t>Backup - GB - Partner Storage (per GB) - Acronis Cyber Protect Cloud</t>
  </si>
  <si>
    <t>SPBBMSENS</t>
  </si>
  <si>
    <t>Backup - GB - Customer Storage (per GB) - Acronis Cyber Protect Cloud</t>
  </si>
  <si>
    <t>SP4BMSENS</t>
  </si>
  <si>
    <t>Microsoft 365 Backup
Powered by Microsoft</t>
  </si>
  <si>
    <t xml:space="preserve">Backup - GB – Microsoft 365 Backup Storage (per GB) – Microsoft 365 Backup (powered by Microsoft) </t>
  </si>
  <si>
    <t>SPZBMSENS</t>
  </si>
  <si>
    <r>
      <t xml:space="preserve">Backup - Geo-redundant - GB/WL - Acronis Hosted Storage - G1 - Acronis Cyber Protect Cloud </t>
    </r>
    <r>
      <rPr>
        <vertAlign val="superscript"/>
        <sz val="11"/>
        <color theme="1"/>
        <rFont val="Calibri"/>
        <family val="2"/>
        <scheme val="minor"/>
      </rPr>
      <t>4</t>
    </r>
  </si>
  <si>
    <t>SP5AMSENS</t>
  </si>
  <si>
    <r>
      <t>Backup - Geo-redundant - WL - Microsoft 365 seat (with unlimited Acronis Hosted Cloud storage</t>
    </r>
    <r>
      <rPr>
        <vertAlign val="superscript"/>
        <sz val="11"/>
        <color theme="1"/>
        <rFont val="Calibri"/>
        <family val="2"/>
        <scheme val="minor"/>
      </rPr>
      <t>1</t>
    </r>
    <r>
      <rPr>
        <sz val="11"/>
        <color theme="1"/>
        <rFont val="Calibri"/>
        <family val="2"/>
        <scheme val="minor"/>
      </rPr>
      <t>) - G1 - Acronis Cyber Protect Cloud</t>
    </r>
    <r>
      <rPr>
        <sz val="11"/>
        <color theme="1"/>
        <rFont val="Calibri"/>
        <family val="2"/>
        <scheme val="minor"/>
      </rPr>
      <t xml:space="preserve"> </t>
    </r>
    <r>
      <rPr>
        <vertAlign val="superscript"/>
        <sz val="11"/>
        <color theme="1"/>
        <rFont val="Calibri"/>
        <family val="2"/>
        <scheme val="minor"/>
      </rPr>
      <t>4</t>
    </r>
  </si>
  <si>
    <t>SRJGMSENS</t>
  </si>
  <si>
    <r>
      <t>Backup - Geo-redundant - WL - Google Workspace seat (with unlimited Acronis Hosted Cloud storage</t>
    </r>
    <r>
      <rPr>
        <vertAlign val="superscript"/>
        <sz val="11"/>
        <color theme="1"/>
        <rFont val="Calibri"/>
        <family val="2"/>
        <scheme val="minor"/>
      </rPr>
      <t>1</t>
    </r>
    <r>
      <rPr>
        <sz val="11"/>
        <color theme="1"/>
        <rFont val="Calibri"/>
        <family val="2"/>
        <scheme val="minor"/>
      </rPr>
      <t>) - G1 - Acronis Cyber Protect Cloud</t>
    </r>
    <r>
      <rPr>
        <sz val="11"/>
        <color theme="1"/>
        <rFont val="Calibri"/>
        <family val="2"/>
        <scheme val="minor"/>
      </rPr>
      <t xml:space="preserve"> </t>
    </r>
    <r>
      <rPr>
        <vertAlign val="superscript"/>
        <sz val="11"/>
        <color theme="1"/>
        <rFont val="Calibri"/>
        <family val="2"/>
        <scheme val="minor"/>
      </rPr>
      <t>4</t>
    </r>
  </si>
  <si>
    <t>SQBGMSENS</t>
  </si>
  <si>
    <t>Direct Backup to Public Cloud - WL - Server - Acronis Cyber Protect Cloud</t>
  </si>
  <si>
    <t>SRDUMSENS</t>
  </si>
  <si>
    <t>Direct Backup to Public Cloud - WL - VM - Acronis Cyber Protect Cloud</t>
  </si>
  <si>
    <t>SREUMSENS</t>
  </si>
  <si>
    <t>Direct Backup to Public Cloud - WL - Workstation - Acronis Cyber Protect Cloud</t>
  </si>
  <si>
    <t>SRFUMSENS</t>
  </si>
  <si>
    <t>Direct Backup to Public Cloud - WL -  Hosting Server - Acronis Cyber Protect Cloud</t>
  </si>
  <si>
    <t>SRGUMSENS</t>
  </si>
  <si>
    <t>Disaster Recovery - GB - Acronis Hosted Storage (per GB) - G1 - Acronis Cyber Protect Cloud</t>
  </si>
  <si>
    <t>SVEAMSENS</t>
  </si>
  <si>
    <t>Disaster Recovery - GB - Acronis Hosted Storage (per GB) - G2 - Acronis Cyber Protect Cloud</t>
  </si>
  <si>
    <t>SVE2MSENS</t>
  </si>
  <si>
    <t>Disaster Recovery - GB - Partner Storage (per GB) - Acronis Cyber Protect Cloud</t>
  </si>
  <si>
    <t>SVFAMSENS</t>
  </si>
  <si>
    <t>Disaster Recovery - GB - Acronis Hosted - 1 compute point (per running hour) - Acronis Cyber Protect Cloud</t>
  </si>
  <si>
    <t>SQYAMSENS</t>
  </si>
  <si>
    <t>Disaster Recovery - GB - Acronis Hosted Public IP address - Acronis Cyber Protect Cloud</t>
  </si>
  <si>
    <t>SEDAMSENS</t>
  </si>
  <si>
    <t>Disaster Recovery – WL - DR and Direct Backup to Azure - Acronis Cyber Protect Cloud</t>
  </si>
  <si>
    <t>SEHAMSENS</t>
  </si>
  <si>
    <r>
      <t>Email Archiving - WL - Microsoft 365 seat (with unlimited Acronis Hosted Cloud storage</t>
    </r>
    <r>
      <rPr>
        <vertAlign val="superscript"/>
        <sz val="11"/>
        <rFont val="Calibri"/>
        <family val="2"/>
        <scheme val="minor"/>
      </rPr>
      <t>1</t>
    </r>
    <r>
      <rPr>
        <sz val="11"/>
        <rFont val="Calibri"/>
        <family val="2"/>
        <scheme val="minor"/>
      </rPr>
      <t>) - G1 - Acronis Cyber Protect Cloud</t>
    </r>
  </si>
  <si>
    <t>SHJAMSENS</t>
  </si>
  <si>
    <r>
      <t>Email Archiving - WL - Microsoft 365 seat (with unlimited Acronis Hosted Cloud storage</t>
    </r>
    <r>
      <rPr>
        <vertAlign val="superscript"/>
        <sz val="11"/>
        <rFont val="Calibri"/>
        <family val="2"/>
        <scheme val="minor"/>
      </rPr>
      <t>1</t>
    </r>
    <r>
      <rPr>
        <sz val="11"/>
        <rFont val="Calibri"/>
        <family val="2"/>
        <scheme val="minor"/>
      </rPr>
      <t>) - G2 - Acronis Cyber Protect Cloud</t>
    </r>
  </si>
  <si>
    <t>SHJ2MSENS</t>
  </si>
  <si>
    <t>Email Archiving - WL - Microsoft 365 seat (for SP/Azure/Google Hosted storage) - Acronis Cyber Protect Cloud</t>
  </si>
  <si>
    <t>SHAAMSENS</t>
  </si>
  <si>
    <t>Email Archiving - WL - Google Hosted Storage for per Workload model (per GB) - Acronis Cyber Protect Cloud</t>
  </si>
  <si>
    <t>SHXAMSENS</t>
  </si>
  <si>
    <t>Email Archiving - WL - Azure Hosted Storage for per Workload model (per GB) - Acronis Cyber Protect Cloud</t>
  </si>
  <si>
    <t>SH1AMSENS</t>
  </si>
  <si>
    <t>Email Archiving - GB - Acronis Hosted Storage (per GB) - G1 - Acronis Cyber Protect Cloud</t>
  </si>
  <si>
    <t>SHBAMSENS</t>
  </si>
  <si>
    <t>Email Archiving - GB - Acronis Hosted Storage (per GB) - G2 - Acronis Cyber Protect Cloud</t>
  </si>
  <si>
    <t>SHB2MSENS</t>
  </si>
  <si>
    <t>Email Archiving - GB - Partner Storage (per GB) - Acronis Cyber Protect Cloud</t>
  </si>
  <si>
    <t>SHBBMSENS</t>
  </si>
  <si>
    <t>Email Archiving - GB - Google Hosted Storage (per GB) - Acronis Cyber Protect Cloud</t>
  </si>
  <si>
    <t>SH3AMSENS</t>
  </si>
  <si>
    <t>Email Archiving - GB - Azure Hosted Storage (per GB) - Acronis Cyber Protect Cloud</t>
  </si>
  <si>
    <t>SH2AMSENS</t>
  </si>
  <si>
    <t>Cyber Frame Local - 1 Physical CPU Core - Acronis Cyber Protect Cloud</t>
  </si>
  <si>
    <t>SFLAMSENS</t>
  </si>
  <si>
    <r>
      <t>Cyber Frame Cloud - vCPU, consumed vCPU, per month</t>
    </r>
    <r>
      <rPr>
        <vertAlign val="superscript"/>
        <sz val="11"/>
        <color theme="1"/>
        <rFont val="Calibri"/>
        <family val="2"/>
        <scheme val="minor"/>
      </rPr>
      <t>3</t>
    </r>
    <r>
      <rPr>
        <sz val="11"/>
        <color theme="1"/>
        <rFont val="Calibri"/>
        <family val="2"/>
        <scheme val="minor"/>
      </rPr>
      <t xml:space="preserve"> - Acronis Cyber Protect Cloud</t>
    </r>
    <r>
      <rPr>
        <vertAlign val="superscript"/>
        <sz val="11"/>
        <color theme="1"/>
        <rFont val="Calibri"/>
        <family val="2"/>
        <scheme val="minor"/>
      </rPr>
      <t xml:space="preserve"> 4</t>
    </r>
  </si>
  <si>
    <t>SFCAMSENS</t>
  </si>
  <si>
    <r>
      <t>Cyber Frame Cloud - RAM, consumed GB, per month</t>
    </r>
    <r>
      <rPr>
        <vertAlign val="superscript"/>
        <sz val="11"/>
        <color theme="1"/>
        <rFont val="Calibri"/>
        <family val="2"/>
        <scheme val="minor"/>
      </rPr>
      <t>3</t>
    </r>
    <r>
      <rPr>
        <sz val="11"/>
        <color theme="1"/>
        <rFont val="Calibri"/>
        <family val="2"/>
        <scheme val="minor"/>
      </rPr>
      <t xml:space="preserve"> - Acronis Cyber Protect Cloud</t>
    </r>
    <r>
      <rPr>
        <sz val="11"/>
        <color theme="1"/>
        <rFont val="Calibri"/>
        <family val="2"/>
        <scheme val="minor"/>
      </rPr>
      <t xml:space="preserve"> </t>
    </r>
    <r>
      <rPr>
        <vertAlign val="superscript"/>
        <sz val="11"/>
        <color theme="1"/>
        <rFont val="Calibri"/>
        <family val="2"/>
        <scheme val="minor"/>
      </rPr>
      <t>4</t>
    </r>
  </si>
  <si>
    <t>SFCRMSENS</t>
  </si>
  <si>
    <r>
      <t>Cyber Frame Cloud - Block Storage, consumed GB, per month</t>
    </r>
    <r>
      <rPr>
        <vertAlign val="superscript"/>
        <sz val="11"/>
        <color theme="1"/>
        <rFont val="Calibri"/>
        <family val="2"/>
        <scheme val="minor"/>
      </rPr>
      <t>3</t>
    </r>
    <r>
      <rPr>
        <sz val="11"/>
        <color theme="1"/>
        <rFont val="Calibri"/>
        <family val="2"/>
        <scheme val="minor"/>
      </rPr>
      <t xml:space="preserve"> - Acronis Cyber Protect Cloud</t>
    </r>
    <r>
      <rPr>
        <vertAlign val="superscript"/>
        <sz val="11"/>
        <color theme="1"/>
        <rFont val="Calibri"/>
        <family val="2"/>
        <scheme val="minor"/>
      </rPr>
      <t xml:space="preserve"> 4</t>
    </r>
  </si>
  <si>
    <t>SFCHMSENS</t>
  </si>
  <si>
    <r>
      <t>Cyber Frame Cloud - Public Floating IPv4, allocated IP addresses, per month</t>
    </r>
    <r>
      <rPr>
        <vertAlign val="superscript"/>
        <sz val="11"/>
        <color theme="1"/>
        <rFont val="Calibri"/>
        <family val="2"/>
        <scheme val="minor"/>
      </rPr>
      <t>3</t>
    </r>
    <r>
      <rPr>
        <sz val="11"/>
        <color theme="1"/>
        <rFont val="Calibri"/>
        <family val="2"/>
        <scheme val="minor"/>
      </rPr>
      <t xml:space="preserve"> - Acronis Cyber Protect Cloud</t>
    </r>
    <r>
      <rPr>
        <vertAlign val="superscript"/>
        <sz val="11"/>
        <color theme="1"/>
        <rFont val="Calibri"/>
        <family val="2"/>
        <scheme val="minor"/>
      </rPr>
      <t xml:space="preserve"> 4</t>
    </r>
  </si>
  <si>
    <t>SFCIMSENS</t>
  </si>
  <si>
    <r>
      <t>Cyber Frame Cloud - Windows Server License, per licensed vCPU, per month</t>
    </r>
    <r>
      <rPr>
        <vertAlign val="superscript"/>
        <sz val="11"/>
        <color theme="1"/>
        <rFont val="Calibri"/>
        <family val="2"/>
        <scheme val="minor"/>
      </rPr>
      <t>3</t>
    </r>
    <r>
      <rPr>
        <sz val="11"/>
        <color theme="1"/>
        <rFont val="Calibri"/>
        <family val="2"/>
        <scheme val="minor"/>
      </rPr>
      <t xml:space="preserve"> - Acronis Cyber Protect Cloud</t>
    </r>
    <r>
      <rPr>
        <vertAlign val="superscript"/>
        <sz val="11"/>
        <color theme="1"/>
        <rFont val="Calibri"/>
        <family val="2"/>
        <scheme val="minor"/>
      </rPr>
      <t xml:space="preserve"> 4</t>
    </r>
  </si>
  <si>
    <t>SFCWMSENS</t>
  </si>
  <si>
    <r>
      <t xml:space="preserve">Cyber Workspace - Cyber Employee - Agent - Acronis Cyber Protect Cloud </t>
    </r>
    <r>
      <rPr>
        <vertAlign val="superscript"/>
        <sz val="11"/>
        <rFont val="Calibri"/>
        <family val="2"/>
        <scheme val="minor"/>
      </rPr>
      <t>4</t>
    </r>
  </si>
  <si>
    <t>SWWAMSENS</t>
  </si>
  <si>
    <r>
      <t xml:space="preserve">Cyber Workspace - Cyber Employee - Usage Unit - Acronis Cyber Protect Cloud </t>
    </r>
    <r>
      <rPr>
        <vertAlign val="superscript"/>
        <sz val="11"/>
        <rFont val="Calibri"/>
        <family val="2"/>
        <scheme val="minor"/>
      </rPr>
      <t>4</t>
    </r>
  </si>
  <si>
    <t>SWWBMSENS</t>
  </si>
  <si>
    <t>Files Sync &amp; Share</t>
  </si>
  <si>
    <t>Files Sync &amp; Share - User (per user)  - Acronis Cyber Files Cloud</t>
  </si>
  <si>
    <t>SPIAMSENS</t>
  </si>
  <si>
    <t>Files Sync &amp; Share - User - Acronis Hosted Storage (per GB) - G1 - Acronis Cyber Files Cloud</t>
  </si>
  <si>
    <t>SUVAMSENS</t>
  </si>
  <si>
    <t>Files Sync &amp; Share - User - Acronis Hosted Storage (per GB) - G2 - Acronis Cyber Files Cloud</t>
  </si>
  <si>
    <t>SUV2MSENS</t>
  </si>
  <si>
    <t>Files Sync &amp; Share - GB - Acronis Hosted Storage (per GB) - G1 - Acronis Cyber Files Cloud</t>
  </si>
  <si>
    <t>SP1AMSENS</t>
  </si>
  <si>
    <t>Files Sync &amp; Share - GB - Acronis Hosted Storage (per GB) - G2 - Acronis Cyber Files Cloud</t>
  </si>
  <si>
    <t>SP12MSENS</t>
  </si>
  <si>
    <t>Files Sync &amp; Share - GB - Partner Storage (per GB) - Acronis Cyber Files Cloud</t>
  </si>
  <si>
    <t>SP2AMSENS</t>
  </si>
  <si>
    <t>Physical Data Shipping</t>
  </si>
  <si>
    <t>Physical Data Shipping to Cloud, 1 disk - Acronis Cyber Protect Cloud</t>
  </si>
  <si>
    <t>SEGAMSENS</t>
  </si>
  <si>
    <t>Cyber Infrastructure</t>
  </si>
  <si>
    <t>SPLA - Acronis Cyber Infrastructure (per GB)</t>
  </si>
  <si>
    <t>SCVAMSENS</t>
  </si>
  <si>
    <t>When Distributors submit an Order to provision a Service Provider under a Commitment tier, Distributors commit to paying Acronis the higher of (1) the associated commitment amount with the selected Commitment tier for that Service Provider or (2) aggregate cost of the price per GB, device, End User, computer resource, or IP Address multiplied by the Price Per Unit (“Actual Usage Price”).  Distributors may request to increase the Commitment tier for a Service Provider to a commitment that is higher than the previous monthly invoice for that Service Provider.  Acronis reserves the right to approve any change in Commitment tier in its sole and absolute discretion.  Without limiting the foregoing, Company will reject any change to Service Provider’s Minimum Monthly Commitment tier that is not higher than Service Provider’s previous monthly invoice.</t>
  </si>
  <si>
    <r>
      <rPr>
        <u/>
        <vertAlign val="superscript"/>
        <sz val="11"/>
        <color theme="10"/>
        <rFont val="Calibri"/>
        <family val="2"/>
        <scheme val="minor"/>
      </rPr>
      <t xml:space="preserve">1 </t>
    </r>
    <r>
      <rPr>
        <u/>
        <sz val="11"/>
        <color theme="10"/>
        <rFont val="Calibri"/>
        <family val="2"/>
        <scheme val="minor"/>
      </rPr>
      <t>based on the fair usage policy: https://www.acronis.com/en-us/company/licensing/</t>
    </r>
  </si>
  <si>
    <r>
      <rPr>
        <vertAlign val="superscript"/>
        <sz val="11"/>
        <color rgb="FF000000"/>
        <rFont val="Calibri"/>
        <family val="2"/>
        <scheme val="minor"/>
      </rPr>
      <t>2</t>
    </r>
    <r>
      <rPr>
        <sz val="11"/>
        <color rgb="FF000000"/>
        <rFont val="Calibri"/>
        <family val="2"/>
        <scheme val="minor"/>
      </rPr>
      <t xml:space="preserve"> Entra ID Backup is promotional and will be billed starting with December 2026 usage</t>
    </r>
  </si>
  <si>
    <r>
      <rPr>
        <vertAlign val="superscript"/>
        <sz val="11"/>
        <rFont val="Calibri"/>
        <family val="2"/>
        <scheme val="minor"/>
      </rPr>
      <t xml:space="preserve">3 </t>
    </r>
    <r>
      <rPr>
        <sz val="11"/>
        <rFont val="Calibri"/>
        <family val="2"/>
        <scheme val="minor"/>
      </rPr>
      <t>Monthly price is calculated based on 730 hours</t>
    </r>
  </si>
  <si>
    <r>
      <rPr>
        <vertAlign val="superscript"/>
        <sz val="11"/>
        <rFont val="Calibri"/>
        <family val="2"/>
        <scheme val="minor"/>
      </rPr>
      <t>4</t>
    </r>
    <r>
      <rPr>
        <sz val="11"/>
        <rFont val="Calibri"/>
        <family val="2"/>
        <scheme val="minor"/>
      </rPr>
      <t xml:space="preserve"> Available only in selected data centers. See Cloud DCs tab.</t>
    </r>
  </si>
  <si>
    <t>This section of the calculator helps to estimate the number of compute points required for tests with the default settings.</t>
  </si>
  <si>
    <t>Fill in the number of servers of each configuration template that will be used during Disaster Recovery. It is recommended to choose a configuration template of higher or equal specifications of the original server. I.e. if a server has 4 CPU and 8 GB of RAM - the closest template with a higher configuration is 4 vCore and 16 GB of RAM</t>
  </si>
  <si>
    <t>Server Template</t>
  </si>
  <si>
    <t>Compute Points per hour</t>
  </si>
  <si>
    <r>
      <rPr>
        <sz val="11"/>
        <color rgb="FF000000"/>
        <rFont val="Calibri"/>
        <family val="2"/>
        <charset val="204"/>
        <scheme val="minor"/>
      </rPr>
      <t xml:space="preserve">Number of servers </t>
    </r>
    <r>
      <rPr>
        <b/>
        <sz val="11"/>
        <color rgb="FF000000"/>
        <rFont val="Calibri"/>
        <family val="2"/>
        <charset val="204"/>
        <scheme val="minor"/>
      </rPr>
      <t>(Solution-based licensing)</t>
    </r>
  </si>
  <si>
    <r>
      <rPr>
        <sz val="11"/>
        <color rgb="FF000000"/>
        <rFont val="Calibri"/>
        <family val="2"/>
        <charset val="204"/>
        <scheme val="minor"/>
      </rPr>
      <t xml:space="preserve">Number of servers </t>
    </r>
    <r>
      <rPr>
        <b/>
        <sz val="11"/>
        <color rgb="FF000000"/>
        <rFont val="Calibri"/>
        <family val="2"/>
        <charset val="204"/>
        <scheme val="minor"/>
      </rPr>
      <t>(Service-based licensing)</t>
    </r>
  </si>
  <si>
    <r>
      <rPr>
        <u/>
        <sz val="11"/>
        <color rgb="FF000000"/>
        <rFont val="Calibri"/>
        <family val="2"/>
        <charset val="204"/>
        <scheme val="minor"/>
      </rPr>
      <t>Monthly</t>
    </r>
    <r>
      <rPr>
        <sz val="11"/>
        <color rgb="FF000000"/>
        <rFont val="Calibri"/>
        <family val="2"/>
        <charset val="204"/>
        <scheme val="minor"/>
      </rPr>
      <t xml:space="preserve"> Compute Points for Disaster Recovery Tests </t>
    </r>
    <r>
      <rPr>
        <b/>
        <sz val="11"/>
        <color rgb="FF000000"/>
        <rFont val="Calibri"/>
        <family val="2"/>
        <charset val="204"/>
        <scheme val="minor"/>
      </rPr>
      <t>(Solution-based licensing)</t>
    </r>
  </si>
  <si>
    <r>
      <rPr>
        <u/>
        <sz val="11"/>
        <color rgb="FF000000"/>
        <rFont val="Calibri"/>
        <family val="2"/>
        <charset val="204"/>
        <scheme val="minor"/>
      </rPr>
      <t>Monthly</t>
    </r>
    <r>
      <rPr>
        <sz val="11"/>
        <color rgb="FF000000"/>
        <rFont val="Calibri"/>
        <family val="2"/>
        <charset val="204"/>
        <scheme val="minor"/>
      </rPr>
      <t xml:space="preserve"> Compute Points for Disaster Recovery Tests</t>
    </r>
    <r>
      <rPr>
        <b/>
        <sz val="11"/>
        <color rgb="FF000000"/>
        <rFont val="Calibri"/>
        <family val="2"/>
        <charset val="204"/>
        <scheme val="minor"/>
      </rPr>
      <t xml:space="preserve"> (Service-based licensing)</t>
    </r>
  </si>
  <si>
    <t>1 vCore, 2 GB RAM</t>
  </si>
  <si>
    <t>1 vCore, 4 GB RAM</t>
  </si>
  <si>
    <t>2 vCore, 8 GB RAM</t>
  </si>
  <si>
    <t>4 vCore, 16 GB RAM</t>
  </si>
  <si>
    <t>8 vCore, 32 GB RAM</t>
  </si>
  <si>
    <t>16 vCore, 64 GB RAM</t>
  </si>
  <si>
    <t>16 vCore, 128 GB RAM</t>
  </si>
  <si>
    <t>16 vCore, 256 GB RAM</t>
  </si>
  <si>
    <t>Totals:</t>
  </si>
  <si>
    <t>Default options:</t>
  </si>
  <si>
    <t>Number of tests per month</t>
  </si>
  <si>
    <t>Running time per failover test (hours)</t>
  </si>
  <si>
    <t>Advanced settings: compute points required for actual Disaster Recovery situations</t>
  </si>
  <si>
    <t>Time to recovert from Disaster - how much downtime is expected during a disaster scenario. How much time it will take replace faulty/destroyed hardware, install it on site and restore data recommended minimum - 7 days.</t>
  </si>
  <si>
    <t>Time to recover from server failure (days)</t>
  </si>
  <si>
    <t xml:space="preserve">Number of servers </t>
  </si>
  <si>
    <r>
      <rPr>
        <b/>
        <sz val="11"/>
        <rFont val="Calibri"/>
        <family val="2"/>
        <charset val="204"/>
        <scheme val="minor"/>
      </rPr>
      <t xml:space="preserve">Projected </t>
    </r>
    <r>
      <rPr>
        <b/>
        <sz val="11"/>
        <color theme="1"/>
        <rFont val="Calibri"/>
        <family val="2"/>
        <scheme val="minor"/>
      </rPr>
      <t xml:space="preserve">compute points for </t>
    </r>
    <r>
      <rPr>
        <b/>
        <u/>
        <sz val="11"/>
        <color theme="1"/>
        <rFont val="Calibri"/>
        <family val="2"/>
        <charset val="204"/>
        <scheme val="minor"/>
      </rPr>
      <t>1 day</t>
    </r>
    <r>
      <rPr>
        <b/>
        <sz val="11"/>
        <color theme="1"/>
        <rFont val="Calibri"/>
        <family val="2"/>
        <scheme val="minor"/>
      </rPr>
      <t xml:space="preserve"> of </t>
    </r>
    <r>
      <rPr>
        <b/>
        <u/>
        <sz val="11"/>
        <color theme="1"/>
        <rFont val="Calibri"/>
        <family val="2"/>
        <charset val="204"/>
        <scheme val="minor"/>
      </rPr>
      <t>actual Disaster Recovery</t>
    </r>
  </si>
  <si>
    <r>
      <rPr>
        <b/>
        <u/>
        <sz val="11"/>
        <rFont val="Calibri"/>
        <family val="2"/>
        <charset val="204"/>
        <scheme val="minor"/>
      </rPr>
      <t>Total</t>
    </r>
    <r>
      <rPr>
        <b/>
        <sz val="11"/>
        <rFont val="Calibri"/>
        <family val="2"/>
        <charset val="204"/>
        <scheme val="minor"/>
      </rPr>
      <t xml:space="preserve"> projected </t>
    </r>
    <r>
      <rPr>
        <b/>
        <sz val="11"/>
        <color theme="1"/>
        <rFont val="Calibri"/>
        <family val="2"/>
        <scheme val="minor"/>
      </rPr>
      <t>compute points for</t>
    </r>
    <r>
      <rPr>
        <b/>
        <sz val="11"/>
        <color theme="1"/>
        <rFont val="Calibri"/>
        <family val="2"/>
        <charset val="204"/>
        <scheme val="minor"/>
      </rPr>
      <t xml:space="preserve"> </t>
    </r>
    <r>
      <rPr>
        <b/>
        <u/>
        <sz val="11"/>
        <color theme="1"/>
        <rFont val="Calibri"/>
        <family val="2"/>
        <charset val="204"/>
        <scheme val="minor"/>
      </rPr>
      <t>actual Disaster Recovery</t>
    </r>
  </si>
  <si>
    <t>Total projected costs:</t>
  </si>
  <si>
    <t>Acronis Datacenters</t>
  </si>
  <si>
    <t>#</t>
  </si>
  <si>
    <t>Type</t>
  </si>
  <si>
    <t>Storage type group</t>
  </si>
  <si>
    <t xml:space="preserve">Country </t>
  </si>
  <si>
    <t>DC</t>
  </si>
  <si>
    <t>Geo-redundancy available</t>
  </si>
  <si>
    <t>Cyber Employee available</t>
  </si>
  <si>
    <t>Cyber Frame Cloud available</t>
  </si>
  <si>
    <t>Existing DC</t>
  </si>
  <si>
    <t>USA</t>
  </si>
  <si>
    <t>Phoenix</t>
  </si>
  <si>
    <t>Ashburn</t>
  </si>
  <si>
    <t xml:space="preserve">Germany </t>
  </si>
  <si>
    <t xml:space="preserve">Frankfurt </t>
  </si>
  <si>
    <t xml:space="preserve">Switzerland </t>
  </si>
  <si>
    <t>Lupfig</t>
  </si>
  <si>
    <t>UK</t>
  </si>
  <si>
    <t xml:space="preserve">London </t>
  </si>
  <si>
    <t xml:space="preserve">Japan </t>
  </si>
  <si>
    <t>Nagano</t>
  </si>
  <si>
    <t>Kanagawa</t>
  </si>
  <si>
    <t xml:space="preserve">Cologne </t>
  </si>
  <si>
    <t xml:space="preserve">France </t>
  </si>
  <si>
    <t>Strasbourg</t>
  </si>
  <si>
    <t>St.Louis</t>
  </si>
  <si>
    <t xml:space="preserve">Singapore </t>
  </si>
  <si>
    <t xml:space="preserve">Australia </t>
  </si>
  <si>
    <t>Sydney</t>
  </si>
  <si>
    <t>Canada</t>
  </si>
  <si>
    <t>Vancouver</t>
  </si>
  <si>
    <t>Toronto</t>
  </si>
  <si>
    <t>New Zealand</t>
  </si>
  <si>
    <t>Auckland</t>
  </si>
  <si>
    <t>Liechtenstein</t>
  </si>
  <si>
    <t>Balzers</t>
  </si>
  <si>
    <t>Indonesia</t>
  </si>
  <si>
    <t>Jakarta</t>
  </si>
  <si>
    <t>India</t>
  </si>
  <si>
    <t>Mumbai</t>
  </si>
  <si>
    <t>Spain</t>
  </si>
  <si>
    <t>Valencia</t>
  </si>
  <si>
    <t>Israel</t>
  </si>
  <si>
    <t>Tel Aviv</t>
  </si>
  <si>
    <t>Portugal</t>
  </si>
  <si>
    <t>Lisbon</t>
  </si>
  <si>
    <t>Korea</t>
  </si>
  <si>
    <t>Seoul</t>
  </si>
  <si>
    <t>Czech Republic</t>
  </si>
  <si>
    <t>Prague</t>
  </si>
  <si>
    <t>Greece</t>
  </si>
  <si>
    <t>Thessaloniki</t>
  </si>
  <si>
    <t>Brazil</t>
  </si>
  <si>
    <t>Sao Paulo</t>
  </si>
  <si>
    <t>Poland</t>
  </si>
  <si>
    <t>Warsaw</t>
  </si>
  <si>
    <t>Austria</t>
  </si>
  <si>
    <t>Vienna</t>
  </si>
  <si>
    <t>Denmark</t>
  </si>
  <si>
    <t>Billund</t>
  </si>
  <si>
    <t>Bulgaria</t>
  </si>
  <si>
    <t>Sofia</t>
  </si>
  <si>
    <t>Turkey</t>
  </si>
  <si>
    <t>Istanbul</t>
  </si>
  <si>
    <t>Norway</t>
  </si>
  <si>
    <t>Oslo</t>
  </si>
  <si>
    <t>Finland</t>
  </si>
  <si>
    <t>Helsinki</t>
  </si>
  <si>
    <t>Italy</t>
  </si>
  <si>
    <t>Rome</t>
  </si>
  <si>
    <t>Sweden</t>
  </si>
  <si>
    <t>Goteborg</t>
  </si>
  <si>
    <t>Mexico</t>
  </si>
  <si>
    <t>Mexico City</t>
  </si>
  <si>
    <t>Malaysia</t>
  </si>
  <si>
    <t>Kuala Lumpur</t>
  </si>
  <si>
    <t>South Africa</t>
  </si>
  <si>
    <t>Johannesburg</t>
  </si>
  <si>
    <t>UAE</t>
  </si>
  <si>
    <t>Abu Dhabi</t>
  </si>
  <si>
    <t>Taiwan</t>
  </si>
  <si>
    <t>Taipei</t>
  </si>
  <si>
    <t>Google Datacenters</t>
  </si>
  <si>
    <t>The Dalles (OR)</t>
  </si>
  <si>
    <t>Montreal</t>
  </si>
  <si>
    <t>Microsoft Azure Datacenters</t>
  </si>
  <si>
    <t>West Des Moines (IA)</t>
  </si>
  <si>
    <t>Netherlands</t>
  </si>
  <si>
    <t>Amsterdam</t>
  </si>
  <si>
    <t>Ireland</t>
  </si>
  <si>
    <t>Dublin</t>
  </si>
  <si>
    <t>Chennai</t>
  </si>
  <si>
    <t>How to use this calculator?</t>
  </si>
  <si>
    <t>1. For customers using solution-based licensing, pricing should be calculated on this page.</t>
  </si>
  <si>
    <t>Solution-based licensing includes pre-packaged solutions that bundle services tailored to different workload types, helping partners build offerings for their end customers. Pre-packaged solutions include:</t>
  </si>
  <si>
    <t>a. Security + RMM - detection and response combined with remote monitoring and management capabilities</t>
  </si>
  <si>
    <t>b. Backup + DR - data protection capabilities with backup, disaster recovery and included storage</t>
  </si>
  <si>
    <t>c. Ultimate Protection - a comprehensive package that includes options (a) and (b), plus a range of additional services</t>
  </si>
  <si>
    <t>2. For customers using service-based licensing, pricing should be calculated on this page.</t>
  </si>
  <si>
    <t xml:space="preserve"> Service-based licensing offers standalone services that can be combined on demand and customized for each workload, maximizing flexibility. Available services include:</t>
  </si>
  <si>
    <t>a. Endpoint and SaaS backup</t>
  </si>
  <si>
    <t>b. Disaster Recovery</t>
  </si>
  <si>
    <t>c. Endpoint and SaaS security</t>
  </si>
  <si>
    <t>d. RMM</t>
  </si>
  <si>
    <t>e. PSA</t>
  </si>
  <si>
    <t>f. Email Archiving and more</t>
  </si>
  <si>
    <t xml:space="preserve">3. Choose minimum commitment and data center group. Ensure that minimum commitment and datacenter group are the same on both pages. </t>
  </si>
  <si>
    <t xml:space="preserve">4. Enter the quantity for each SKU. All other calculations will be performed automatically. </t>
  </si>
  <si>
    <t>5. The total cost is shown in the bottom of both solution-based and service-based pages. You can also see summarized totals with and without minimum commitment applied. Totals are synchronized and automatically updated when any changes are made.</t>
  </si>
  <si>
    <r>
      <t xml:space="preserve">2. Choose </t>
    </r>
    <r>
      <rPr>
        <u/>
        <sz val="11"/>
        <color theme="0"/>
        <rFont val="Arial"/>
        <family val="2"/>
        <charset val="204"/>
      </rPr>
      <t>Datacenter Group</t>
    </r>
    <r>
      <rPr>
        <sz val="11"/>
        <color theme="0"/>
        <rFont val="Arial"/>
        <family val="2"/>
        <charset val="204"/>
      </rPr>
      <t xml:space="preserve">: </t>
    </r>
  </si>
  <si>
    <t>3. Input data for endpoints to be licensed in per Workload model</t>
  </si>
  <si>
    <t xml:space="preserve">Cost </t>
  </si>
  <si>
    <t>Solution-based licensing</t>
  </si>
  <si>
    <t>Security+RMM</t>
  </si>
  <si>
    <t>BDR</t>
  </si>
  <si>
    <t>Ultimate</t>
  </si>
  <si>
    <t>Additional Storage for Base Edition</t>
  </si>
  <si>
    <t>Acronis Cyber Infrastruvture</t>
  </si>
  <si>
    <t>Acronis Cyber Protect Cloud</t>
  </si>
  <si>
    <t>4. Input data for endpoints to be licensed in per GB model</t>
  </si>
  <si>
    <t>M365 Backup Storage</t>
  </si>
  <si>
    <t>5. Input data for endpoints to be protected by Advanced Packs</t>
  </si>
  <si>
    <t>Advanced 
packs</t>
  </si>
  <si>
    <t>Advanced Backup</t>
  </si>
  <si>
    <t>Advanced Management</t>
  </si>
  <si>
    <t>Advanced Security</t>
  </si>
  <si>
    <t>Advanced Email Security (Perception Point)</t>
  </si>
  <si>
    <t>Advanced Data Loss Prevention</t>
  </si>
  <si>
    <t>Advanced automation</t>
  </si>
  <si>
    <t>Advanced Disaster Recovery</t>
  </si>
  <si>
    <t>Acronis Cyber 
Files Cloud</t>
  </si>
  <si>
    <t>6. Input data for Acronis Cyber Files Cloud</t>
  </si>
  <si>
    <t>7. Input data for Acronis Cyber Infrastructure</t>
  </si>
  <si>
    <t>Monthly cost (no commitment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</si>
</sst>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_-* #,##0.00\ &quot;₽&quot;_-;\-* #,##0.00\ &quot;₽&quot;_-;_-* &quot;-&quot;??\ &quot;₽&quot;_-;_-@_-"/>
    <numFmt numFmtId="165" formatCode="_-* #,##0.00_-;\-* #,##0.00_-;_-* &quot;-&quot;??_-;_-@_-"/>
    <numFmt numFmtId="166" formatCode="0.0"/>
    <numFmt numFmtId="167" formatCode="_([$$-409]* #,##0.00_);_([$$-409]* \(#,##0.00\);_([$$-409]* &quot;-&quot;???_);_(@_)"/>
    <numFmt numFmtId="168" formatCode="[&lt;1000]0.0&quot; GB&quot;;0.00,&quot; TB&quot;"/>
    <numFmt numFmtId="169" formatCode="#,##0\ [$USD]"/>
    <numFmt numFmtId="170" formatCode="#,##0.00\ [$USD]"/>
    <numFmt numFmtId="171" formatCode="#,##0.00_ ;\-#,##0.00\ "/>
    <numFmt numFmtId="172" formatCode="#,##0_ ;\-#,##0\ "/>
    <numFmt numFmtId="173" formatCode="[$EUR]\ #,##0"/>
    <numFmt numFmtId="174" formatCode="\$0.00##"/>
    <numFmt numFmtId="175" formatCode="_-* #,##0.0000_-;\-* #,##0.0000_-;_-* &quot;-&quot;??_-;_-@_-"/>
    <numFmt numFmtId="176" formatCode="\$0.00###"/>
    <numFmt numFmtId="177" formatCode="_-* #,##0_-;\-* #,##0_-;_-* &quot;-&quot;??_-;_-@_-"/>
    <numFmt numFmtId="178" formatCode="[$BRL ]0.0###"/>
    <numFmt numFmtId="179" formatCode="\$0.00#########"/>
    <numFmt numFmtId="180" formatCode="\$0.00#####"/>
    <numFmt numFmtId="181" formatCode="&quot;$&quot;0.00##"/>
    <numFmt numFmtId="182" formatCode="&quot;$&quot;#,##0"/>
    <numFmt numFmtId="183" formatCode="&quot;$&quot;#,##0.00"/>
    <numFmt numFmtId="184" formatCode="[&lt;1000]0&quot; GB&quot;;0.0,&quot; TB&quot;"/>
    <numFmt numFmtId="185" formatCode="[&lt;1000]0&quot; GB&quot;;0,&quot; TB&quot;"/>
  </numFmts>
  <fonts count="103">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204"/>
      <scheme val="minor"/>
    </font>
    <font>
      <b/>
      <sz val="11"/>
      <color theme="1"/>
      <name val="Calibri"/>
      <family val="2"/>
      <charset val="204"/>
      <scheme val="minor"/>
    </font>
    <font>
      <sz val="11"/>
      <color theme="1"/>
      <name val="Calibri"/>
      <family val="2"/>
      <scheme val="minor"/>
    </font>
    <font>
      <b/>
      <sz val="14"/>
      <color theme="0"/>
      <name val="Calibri"/>
      <family val="2"/>
      <charset val="204"/>
      <scheme val="minor"/>
    </font>
    <font>
      <b/>
      <sz val="11"/>
      <color theme="1"/>
      <name val="Calibri"/>
      <family val="2"/>
      <scheme val="minor"/>
    </font>
    <font>
      <u/>
      <sz val="11"/>
      <color theme="10"/>
      <name val="Calibri"/>
      <family val="2"/>
      <scheme val="minor"/>
    </font>
    <font>
      <b/>
      <sz val="11"/>
      <color theme="0"/>
      <name val="Calibri"/>
      <family val="2"/>
      <scheme val="minor"/>
    </font>
    <font>
      <b/>
      <sz val="11"/>
      <color theme="0"/>
      <name val="Calibri"/>
      <family val="2"/>
    </font>
    <font>
      <b/>
      <sz val="18"/>
      <color theme="0"/>
      <name val="Calibri"/>
      <family val="2"/>
      <charset val="204"/>
      <scheme val="minor"/>
    </font>
    <font>
      <sz val="11"/>
      <name val="Calibri"/>
      <family val="2"/>
      <charset val="204"/>
      <scheme val="minor"/>
    </font>
    <font>
      <sz val="11"/>
      <color theme="0"/>
      <name val="Calibri"/>
      <family val="2"/>
      <scheme val="minor"/>
    </font>
    <font>
      <sz val="11"/>
      <name val="Calibri"/>
      <family val="2"/>
      <scheme val="minor"/>
    </font>
    <font>
      <sz val="16"/>
      <color theme="1"/>
      <name val="Arial"/>
      <family val="2"/>
    </font>
    <font>
      <sz val="11"/>
      <color theme="1"/>
      <name val="Arial"/>
      <family val="2"/>
    </font>
    <font>
      <sz val="12"/>
      <color theme="1"/>
      <name val="Arial"/>
      <family val="2"/>
    </font>
    <font>
      <sz val="9"/>
      <color theme="0"/>
      <name val="Arial"/>
      <family val="2"/>
    </font>
    <font>
      <sz val="11"/>
      <color theme="0"/>
      <name val="Arial"/>
      <family val="2"/>
    </font>
    <font>
      <sz val="11"/>
      <name val="Arial"/>
      <family val="2"/>
    </font>
    <font>
      <sz val="14"/>
      <color rgb="FFFFFFFF"/>
      <name val="Arial"/>
      <family val="2"/>
    </font>
    <font>
      <b/>
      <sz val="12"/>
      <color theme="1"/>
      <name val="Arial"/>
      <family val="2"/>
    </font>
    <font>
      <sz val="12"/>
      <color theme="0"/>
      <name val="Arial"/>
      <family val="2"/>
    </font>
    <font>
      <sz val="6"/>
      <color rgb="FF003882"/>
      <name val="Arial"/>
      <family val="2"/>
    </font>
    <font>
      <sz val="11"/>
      <color rgb="FF002060"/>
      <name val="Arial"/>
      <family val="2"/>
    </font>
    <font>
      <sz val="9"/>
      <color rgb="FF002060"/>
      <name val="Arial"/>
      <family val="2"/>
    </font>
    <font>
      <b/>
      <sz val="12"/>
      <color theme="1"/>
      <name val="Arial"/>
      <family val="2"/>
      <charset val="204"/>
    </font>
    <font>
      <b/>
      <sz val="12"/>
      <color theme="0"/>
      <name val="Arial"/>
      <family val="2"/>
      <charset val="204"/>
    </font>
    <font>
      <b/>
      <sz val="14"/>
      <color rgb="FFFFFFFF"/>
      <name val="Arial"/>
      <family val="2"/>
      <charset val="204"/>
    </font>
    <font>
      <b/>
      <sz val="12"/>
      <color rgb="FFFFFFFF"/>
      <name val="Arial"/>
      <family val="2"/>
      <charset val="204"/>
    </font>
    <font>
      <u/>
      <sz val="11"/>
      <color theme="10"/>
      <name val="Calibri"/>
      <family val="2"/>
      <charset val="204"/>
      <scheme val="minor"/>
    </font>
    <font>
      <u/>
      <sz val="11"/>
      <color theme="10"/>
      <name val="Arial"/>
      <family val="2"/>
      <charset val="204"/>
    </font>
    <font>
      <sz val="12"/>
      <color rgb="FFFFFF00"/>
      <name val="Arial"/>
      <family val="2"/>
    </font>
    <font>
      <b/>
      <sz val="11"/>
      <color theme="0"/>
      <name val="Calibri"/>
      <family val="2"/>
      <charset val="204"/>
      <scheme val="minor"/>
    </font>
    <font>
      <sz val="11"/>
      <color rgb="FF000000"/>
      <name val="Calibri"/>
      <family val="2"/>
      <charset val="204"/>
      <scheme val="minor"/>
    </font>
    <font>
      <u/>
      <sz val="11"/>
      <color theme="0"/>
      <name val="Arial"/>
      <family val="2"/>
      <charset val="204"/>
    </font>
    <font>
      <sz val="11"/>
      <color theme="0"/>
      <name val="Arial"/>
      <family val="2"/>
      <charset val="204"/>
    </font>
    <font>
      <sz val="11"/>
      <color theme="1"/>
      <name val="Arial"/>
      <family val="2"/>
      <charset val="204"/>
    </font>
    <font>
      <sz val="10"/>
      <color theme="0"/>
      <name val="Calibri"/>
      <family val="2"/>
      <scheme val="minor"/>
    </font>
    <font>
      <b/>
      <u/>
      <sz val="11"/>
      <name val="Calibri"/>
      <family val="2"/>
      <charset val="204"/>
      <scheme val="minor"/>
    </font>
    <font>
      <b/>
      <sz val="11"/>
      <name val="Calibri"/>
      <family val="2"/>
      <charset val="204"/>
      <scheme val="minor"/>
    </font>
    <font>
      <b/>
      <u/>
      <sz val="14"/>
      <color theme="0" tint="-0.499984740745262"/>
      <name val="Calibri"/>
      <family val="2"/>
      <scheme val="minor"/>
    </font>
    <font>
      <sz val="9"/>
      <color theme="0" tint="-0.499984740745262"/>
      <name val="Calibri"/>
      <family val="2"/>
      <scheme val="minor"/>
    </font>
    <font>
      <sz val="10"/>
      <name val="Calibri"/>
      <family val="2"/>
      <scheme val="minor"/>
    </font>
    <font>
      <b/>
      <u/>
      <sz val="11"/>
      <color theme="1"/>
      <name val="Calibri"/>
      <family val="2"/>
      <charset val="204"/>
      <scheme val="minor"/>
    </font>
    <font>
      <sz val="9"/>
      <color indexed="81"/>
      <name val="Tahoma"/>
      <family val="2"/>
      <charset val="238"/>
    </font>
    <font>
      <sz val="6"/>
      <color rgb="FFFFFF00"/>
      <name val="Arial"/>
      <family val="2"/>
    </font>
    <font>
      <sz val="14"/>
      <color rgb="FFFFFF00"/>
      <name val="Arial"/>
      <family val="2"/>
    </font>
    <font>
      <b/>
      <sz val="14"/>
      <color theme="0"/>
      <name val="Arial"/>
      <family val="2"/>
      <charset val="204"/>
    </font>
    <font>
      <b/>
      <sz val="11"/>
      <color theme="0"/>
      <name val="Arial"/>
      <family val="2"/>
    </font>
    <font>
      <b/>
      <sz val="12"/>
      <color theme="0"/>
      <name val="Arial"/>
      <family val="2"/>
    </font>
    <font>
      <b/>
      <sz val="14"/>
      <color theme="0"/>
      <name val="Calibri"/>
      <family val="2"/>
      <scheme val="minor"/>
    </font>
    <font>
      <b/>
      <u/>
      <sz val="12"/>
      <color theme="0"/>
      <name val="Arial"/>
      <family val="2"/>
    </font>
    <font>
      <b/>
      <sz val="12"/>
      <color theme="0"/>
      <name val="Calibri"/>
      <family val="2"/>
      <scheme val="minor"/>
    </font>
    <font>
      <b/>
      <sz val="12"/>
      <color theme="0"/>
      <name val="Calibri"/>
      <family val="2"/>
    </font>
    <font>
      <b/>
      <sz val="11"/>
      <color theme="1"/>
      <name val="Calibri"/>
      <family val="2"/>
      <charset val="238"/>
      <scheme val="minor"/>
    </font>
    <font>
      <b/>
      <sz val="16"/>
      <color theme="0"/>
      <name val="Arial"/>
      <family val="2"/>
      <charset val="204"/>
    </font>
    <font>
      <sz val="11"/>
      <color rgb="FFFF0000"/>
      <name val="Calibri"/>
      <family val="2"/>
      <scheme val="minor"/>
    </font>
    <font>
      <b/>
      <sz val="11"/>
      <color theme="0"/>
      <name val="Arial"/>
      <family val="2"/>
      <charset val="204"/>
    </font>
    <font>
      <b/>
      <sz val="12"/>
      <color rgb="FFFFFF00"/>
      <name val="Arial"/>
      <family val="2"/>
      <charset val="204"/>
    </font>
    <font>
      <b/>
      <sz val="10"/>
      <color indexed="81"/>
      <name val="Tahoma"/>
      <family val="2"/>
      <charset val="204"/>
    </font>
    <font>
      <sz val="10"/>
      <color indexed="81"/>
      <name val="Tahoma"/>
      <family val="2"/>
      <charset val="204"/>
    </font>
    <font>
      <b/>
      <sz val="18"/>
      <color theme="0"/>
      <name val="Calibri"/>
      <family val="2"/>
    </font>
    <font>
      <sz val="11"/>
      <color theme="3"/>
      <name val="Calibri"/>
      <family val="2"/>
      <scheme val="minor"/>
    </font>
    <font>
      <b/>
      <sz val="11"/>
      <color theme="3"/>
      <name val="Calibri"/>
      <family val="2"/>
    </font>
    <font>
      <sz val="16"/>
      <color theme="0"/>
      <name val="Arial"/>
      <family val="2"/>
    </font>
    <font>
      <b/>
      <sz val="22"/>
      <color theme="0"/>
      <name val="Arial"/>
      <family val="2"/>
      <charset val="204"/>
    </font>
    <font>
      <b/>
      <sz val="12"/>
      <color theme="5" tint="0.39997558519241921"/>
      <name val="Arial"/>
      <family val="2"/>
      <charset val="204"/>
    </font>
    <font>
      <b/>
      <sz val="11"/>
      <color theme="5" tint="0.39997558519241921"/>
      <name val="Arial"/>
      <family val="2"/>
      <charset val="204"/>
    </font>
    <font>
      <b/>
      <sz val="11"/>
      <color rgb="FF000000"/>
      <name val="Calibri"/>
      <family val="2"/>
      <charset val="204"/>
      <scheme val="minor"/>
    </font>
    <font>
      <u/>
      <sz val="11"/>
      <color rgb="FF000000"/>
      <name val="Calibri"/>
      <family val="2"/>
      <charset val="204"/>
      <scheme val="minor"/>
    </font>
    <font>
      <sz val="9"/>
      <color indexed="81"/>
      <name val="Tahoma"/>
      <family val="2"/>
    </font>
    <font>
      <b/>
      <sz val="9"/>
      <color indexed="81"/>
      <name val="Tahoma"/>
      <family val="2"/>
    </font>
    <font>
      <sz val="9"/>
      <color indexed="81"/>
      <name val="Tahoma"/>
      <family val="2"/>
      <charset val="204"/>
    </font>
    <font>
      <b/>
      <sz val="9"/>
      <color indexed="81"/>
      <name val="Tahoma"/>
      <family val="2"/>
      <charset val="204"/>
    </font>
    <font>
      <u/>
      <sz val="14"/>
      <color theme="10"/>
      <name val="Calibri"/>
      <family val="2"/>
      <charset val="204"/>
      <scheme val="minor"/>
    </font>
    <font>
      <sz val="14"/>
      <name val="Calibri"/>
      <family val="2"/>
      <charset val="204"/>
      <scheme val="minor"/>
    </font>
    <font>
      <sz val="14"/>
      <name val="Calibri"/>
      <family val="2"/>
    </font>
    <font>
      <b/>
      <sz val="14"/>
      <color theme="0"/>
      <name val="Arial"/>
      <family val="2"/>
    </font>
    <font>
      <sz val="11"/>
      <color theme="0"/>
      <name val="Calibri"/>
      <family val="2"/>
      <charset val="204"/>
      <scheme val="minor"/>
    </font>
    <font>
      <b/>
      <sz val="14"/>
      <color theme="0"/>
      <name val="Calibri"/>
      <family val="2"/>
    </font>
    <font>
      <sz val="11"/>
      <color rgb="FFFF0000"/>
      <name val="Calibri"/>
      <family val="2"/>
      <charset val="204"/>
      <scheme val="minor"/>
    </font>
    <font>
      <vertAlign val="superscript"/>
      <sz val="11"/>
      <color theme="1"/>
      <name val="Calibri"/>
      <family val="2"/>
      <scheme val="minor"/>
    </font>
    <font>
      <vertAlign val="superscript"/>
      <sz val="11"/>
      <name val="Calibri"/>
      <family val="2"/>
      <scheme val="minor"/>
    </font>
    <font>
      <sz val="11"/>
      <color rgb="FF000000"/>
      <name val="Calibri"/>
      <family val="2"/>
    </font>
    <font>
      <vertAlign val="superscript"/>
      <sz val="11"/>
      <color rgb="FF000000"/>
      <name val="Calibri"/>
      <family val="2"/>
    </font>
    <font>
      <u/>
      <vertAlign val="superscript"/>
      <sz val="11"/>
      <color theme="10"/>
      <name val="Calibri"/>
      <family val="2"/>
      <scheme val="minor"/>
    </font>
    <font>
      <b/>
      <u/>
      <sz val="14"/>
      <color theme="0"/>
      <name val="Arial"/>
      <family val="2"/>
    </font>
    <font>
      <sz val="11"/>
      <color rgb="FF000000"/>
      <name val="Calibri"/>
      <family val="2"/>
      <scheme val="minor"/>
    </font>
    <font>
      <vertAlign val="superscript"/>
      <sz val="11"/>
      <color rgb="FF000000"/>
      <name val="Calibri"/>
      <family val="2"/>
      <scheme val="minor"/>
    </font>
    <font>
      <sz val="11"/>
      <color theme="2" tint="-0.249977111117893"/>
      <name val="Arial"/>
      <family val="2"/>
    </font>
    <font>
      <b/>
      <sz val="11"/>
      <name val="Arial"/>
      <family val="2"/>
    </font>
    <font>
      <b/>
      <sz val="14"/>
      <color theme="5"/>
      <name val="Calibri"/>
      <family val="2"/>
      <scheme val="minor"/>
    </font>
    <font>
      <sz val="11"/>
      <color theme="5"/>
      <name val="Calibri"/>
      <family val="2"/>
      <charset val="204"/>
      <scheme val="minor"/>
    </font>
    <font>
      <b/>
      <sz val="12"/>
      <color rgb="FF003882"/>
      <name val="Arial"/>
      <family val="2"/>
    </font>
    <font>
      <b/>
      <u/>
      <sz val="11"/>
      <color theme="0"/>
      <name val="Arial"/>
      <family val="2"/>
    </font>
    <font>
      <b/>
      <sz val="18"/>
      <color theme="9"/>
      <name val="Calibri"/>
      <family val="2"/>
      <scheme val="minor"/>
    </font>
    <font>
      <sz val="11"/>
      <color theme="9"/>
      <name val="Arial"/>
      <family val="2"/>
    </font>
    <font>
      <sz val="11"/>
      <color theme="9"/>
      <name val="Calibri"/>
      <family val="2"/>
      <charset val="204"/>
      <scheme val="minor"/>
    </font>
    <font>
      <sz val="11"/>
      <color theme="9"/>
      <name val="Calibri"/>
      <family val="2"/>
      <scheme val="minor"/>
    </font>
  </fonts>
  <fills count="45">
    <fill>
      <patternFill patternType="none"/>
    </fill>
    <fill>
      <patternFill patternType="gray125"/>
    </fill>
    <fill>
      <patternFill patternType="solid">
        <fgColor theme="4"/>
        <bgColor indexed="64"/>
      </patternFill>
    </fill>
    <fill>
      <patternFill patternType="solid">
        <fgColor theme="7" tint="0.79998168889431442"/>
        <bgColor theme="4" tint="0.59999389629810485"/>
      </patternFill>
    </fill>
    <fill>
      <patternFill patternType="solid">
        <fgColor theme="7" tint="0.59999389629810485"/>
        <bgColor theme="4" tint="0.59999389629810485"/>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002060"/>
        <bgColor indexed="64"/>
      </patternFill>
    </fill>
    <fill>
      <patternFill patternType="solid">
        <fgColor theme="4" tint="-0.249977111117893"/>
        <bgColor indexed="64"/>
      </patternFill>
    </fill>
    <fill>
      <patternFill patternType="solid">
        <fgColor rgb="FF003882"/>
        <bgColor indexed="64"/>
      </patternFill>
    </fill>
    <fill>
      <patternFill patternType="solid">
        <fgColor rgb="FF003882"/>
        <bgColor theme="4" tint="0.59999389629810485"/>
      </patternFill>
    </fill>
    <fill>
      <patternFill patternType="solid">
        <fgColor rgb="FF001F4D"/>
        <bgColor indexed="64"/>
      </patternFill>
    </fill>
    <fill>
      <patternFill patternType="solid">
        <fgColor rgb="FF003178"/>
        <bgColor indexed="64"/>
      </patternFill>
    </fill>
    <fill>
      <patternFill patternType="solid">
        <fgColor rgb="FFECF1FF"/>
        <bgColor indexed="64"/>
      </patternFill>
    </fill>
    <fill>
      <patternFill patternType="solid">
        <fgColor rgb="FFECF1FF"/>
        <bgColor theme="4" tint="0.59999389629810485"/>
      </patternFill>
    </fill>
    <fill>
      <patternFill patternType="solid">
        <fgColor rgb="FF7FBCFF"/>
        <bgColor indexed="64"/>
      </patternFill>
    </fill>
    <fill>
      <patternFill patternType="solid">
        <fgColor theme="0"/>
        <bgColor theme="4" tint="0.59999389629810485"/>
      </patternFill>
    </fill>
    <fill>
      <patternFill patternType="solid">
        <fgColor rgb="FFEDF2FF"/>
        <bgColor indexed="64"/>
      </patternFill>
    </fill>
    <fill>
      <patternFill patternType="solid">
        <fgColor theme="7" tint="0.79998168889431442"/>
        <bgColor indexed="64"/>
      </patternFill>
    </fill>
    <fill>
      <patternFill patternType="solid">
        <fgColor rgb="FFEEF3FF"/>
        <bgColor indexed="64"/>
      </patternFill>
    </fill>
    <fill>
      <patternFill patternType="solid">
        <fgColor theme="7"/>
        <bgColor theme="4" tint="0.59999389629810485"/>
      </patternFill>
    </fill>
    <fill>
      <patternFill patternType="solid">
        <fgColor rgb="FFEFF4FF"/>
        <bgColor indexed="64"/>
      </patternFill>
    </fill>
    <fill>
      <patternFill patternType="solid">
        <fgColor rgb="FF005ABE"/>
        <bgColor indexed="64"/>
      </patternFill>
    </fill>
    <fill>
      <patternFill patternType="solid">
        <fgColor theme="7" tint="0.59999389629810485"/>
        <bgColor indexed="64"/>
      </patternFill>
    </fill>
    <fill>
      <patternFill patternType="solid">
        <fgColor rgb="FFF0F5FF"/>
        <bgColor indexed="64"/>
      </patternFill>
    </fill>
    <fill>
      <patternFill patternType="solid">
        <fgColor theme="4" tint="0.79998168889431442"/>
        <bgColor theme="4" tint="0.79998168889431442"/>
      </patternFill>
    </fill>
    <fill>
      <patternFill patternType="solid">
        <fgColor rgb="FFF3F7FF"/>
        <bgColor indexed="64"/>
      </patternFill>
    </fill>
    <fill>
      <patternFill patternType="solid">
        <fgColor theme="6" tint="0.79998168889431442"/>
        <bgColor indexed="64"/>
      </patternFill>
    </fill>
    <fill>
      <patternFill patternType="solid">
        <fgColor rgb="FFFFFCF3"/>
        <bgColor theme="4" tint="0.59999389629810485"/>
      </patternFill>
    </fill>
    <fill>
      <patternFill patternType="solid">
        <fgColor rgb="FFFEF2EC"/>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theme="4" tint="0.59999389629810485"/>
      </patternFill>
    </fill>
    <fill>
      <patternFill patternType="solid">
        <fgColor theme="2"/>
        <bgColor indexed="64"/>
      </patternFill>
    </fill>
    <fill>
      <patternFill patternType="solid">
        <fgColor rgb="FFFFFFFF"/>
        <bgColor rgb="FF000000"/>
      </patternFill>
    </fill>
    <fill>
      <patternFill patternType="solid">
        <fgColor rgb="FF254075"/>
        <bgColor indexed="64"/>
      </patternFill>
    </fill>
    <fill>
      <patternFill patternType="solid">
        <fgColor theme="2" tint="-9.9978637043366805E-2"/>
        <bgColor theme="4" tint="0.59999389629810485"/>
      </patternFill>
    </fill>
    <fill>
      <patternFill patternType="solid">
        <fgColor theme="9"/>
        <bgColor indexed="64"/>
      </patternFill>
    </fill>
    <fill>
      <patternFill patternType="solid">
        <fgColor theme="9" tint="-0.249977111117893"/>
        <bgColor indexed="64"/>
      </patternFill>
    </fill>
    <fill>
      <patternFill patternType="solid">
        <fgColor theme="5"/>
        <bgColor theme="4" tint="0.59999389629810485"/>
      </patternFill>
    </fill>
    <fill>
      <patternFill patternType="solid">
        <fgColor theme="1" tint="0.34998626667073579"/>
        <bgColor indexed="64"/>
      </patternFill>
    </fill>
    <fill>
      <patternFill patternType="solid">
        <fgColor theme="1" tint="0.499984740745262"/>
        <bgColor indexed="64"/>
      </patternFill>
    </fill>
  </fills>
  <borders count="2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auto="1"/>
      </left>
      <right style="medium">
        <color indexed="64"/>
      </right>
      <top style="medium">
        <color indexed="64"/>
      </top>
      <bottom/>
      <diagonal/>
    </border>
    <border>
      <left style="thin">
        <color indexed="64"/>
      </left>
      <right style="thin">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auto="1"/>
      </left>
      <right style="medium">
        <color indexed="64"/>
      </right>
      <top/>
      <bottom/>
      <diagonal/>
    </border>
    <border>
      <left style="thin">
        <color indexed="64"/>
      </left>
      <right style="thin">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medium">
        <color indexed="64"/>
      </right>
      <top style="dotted">
        <color indexed="64"/>
      </top>
      <bottom style="thin">
        <color indexed="64"/>
      </bottom>
      <diagonal/>
    </border>
    <border>
      <left style="thin">
        <color indexed="64"/>
      </left>
      <right style="thin">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dotted">
        <color indexed="64"/>
      </left>
      <right style="dotted">
        <color indexed="64"/>
      </right>
      <top/>
      <bottom style="medium">
        <color indexed="64"/>
      </bottom>
      <diagonal/>
    </border>
    <border>
      <left style="thin">
        <color auto="1"/>
      </left>
      <right style="thin">
        <color auto="1"/>
      </right>
      <top style="medium">
        <color indexed="64"/>
      </top>
      <bottom/>
      <diagonal/>
    </border>
    <border>
      <left/>
      <right style="thin">
        <color auto="1"/>
      </right>
      <top style="medium">
        <color indexed="64"/>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theme="1"/>
      </bottom>
      <diagonal/>
    </border>
    <border>
      <left/>
      <right/>
      <top/>
      <bottom style="thin">
        <color theme="1"/>
      </bottom>
      <diagonal/>
    </border>
    <border>
      <left style="thin">
        <color indexed="64"/>
      </left>
      <right style="thin">
        <color indexed="64"/>
      </right>
      <top/>
      <bottom style="thin">
        <color theme="1"/>
      </bottom>
      <diagonal/>
    </border>
    <border>
      <left style="thin">
        <color indexed="64"/>
      </left>
      <right style="thin">
        <color indexed="64"/>
      </right>
      <top style="thin">
        <color theme="1"/>
      </top>
      <bottom/>
      <diagonal/>
    </border>
    <border>
      <left style="thin">
        <color indexed="64"/>
      </left>
      <right style="thin">
        <color indexed="64"/>
      </right>
      <top style="thin">
        <color theme="1"/>
      </top>
      <bottom style="thin">
        <color theme="1"/>
      </bottom>
      <diagonal/>
    </border>
    <border>
      <left style="thin">
        <color theme="1"/>
      </left>
      <right/>
      <top/>
      <bottom style="thin">
        <color theme="1"/>
      </bottom>
      <diagonal/>
    </border>
    <border>
      <left style="thin">
        <color theme="1"/>
      </left>
      <right/>
      <top/>
      <bottom style="thin">
        <color indexed="64"/>
      </bottom>
      <diagonal/>
    </border>
    <border>
      <left/>
      <right style="thin">
        <color theme="1"/>
      </right>
      <top/>
      <bottom style="thin">
        <color theme="1"/>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auto="1"/>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dotted">
        <color indexed="64"/>
      </left>
      <right style="dotted">
        <color indexed="64"/>
      </right>
      <top/>
      <bottom/>
      <diagonal/>
    </border>
    <border>
      <left style="dotted">
        <color indexed="64"/>
      </left>
      <right style="medium">
        <color indexed="64"/>
      </right>
      <top/>
      <bottom/>
      <diagonal/>
    </border>
    <border>
      <left/>
      <right/>
      <top style="thin">
        <color theme="4" tint="0.39997558519241921"/>
      </top>
      <bottom/>
      <diagonal/>
    </border>
    <border>
      <left style="thin">
        <color indexed="64"/>
      </left>
      <right/>
      <top style="thin">
        <color indexed="64"/>
      </top>
      <bottom style="thin">
        <color indexed="64"/>
      </bottom>
      <diagonal/>
    </border>
    <border>
      <left style="thin">
        <color indexed="64"/>
      </left>
      <right/>
      <top style="thin">
        <color theme="4" tint="0.39997558519241921"/>
      </top>
      <bottom/>
      <diagonal/>
    </border>
    <border>
      <left/>
      <right style="thin">
        <color indexed="64"/>
      </right>
      <top style="thin">
        <color theme="4" tint="0.39997558519241921"/>
      </top>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double">
        <color indexed="64"/>
      </bottom>
      <diagonal/>
    </border>
    <border>
      <left style="thin">
        <color indexed="64"/>
      </left>
      <right/>
      <top/>
      <bottom style="dotted">
        <color indexed="64"/>
      </bottom>
      <diagonal/>
    </border>
    <border>
      <left/>
      <right/>
      <top style="thin">
        <color theme="0"/>
      </top>
      <bottom style="thin">
        <color theme="0"/>
      </bottom>
      <diagonal/>
    </border>
    <border>
      <left/>
      <right style="thin">
        <color indexed="64"/>
      </right>
      <top style="thin">
        <color theme="1"/>
      </top>
      <bottom/>
      <diagonal/>
    </border>
    <border>
      <left/>
      <right/>
      <top style="medium">
        <color theme="0"/>
      </top>
      <bottom/>
      <diagonal/>
    </border>
    <border>
      <left/>
      <right style="thin">
        <color indexed="64"/>
      </right>
      <top style="medium">
        <color theme="0"/>
      </top>
      <bottom/>
      <diagonal/>
    </border>
    <border>
      <left/>
      <right style="medium">
        <color indexed="64"/>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theme="4" tint="0.39997558519241921"/>
      </top>
      <bottom style="thin">
        <color indexed="64"/>
      </bottom>
      <diagonal/>
    </border>
    <border>
      <left/>
      <right/>
      <top/>
      <bottom style="medium">
        <color theme="0"/>
      </bottom>
      <diagonal/>
    </border>
    <border>
      <left style="medium">
        <color indexed="64"/>
      </left>
      <right/>
      <top style="medium">
        <color indexed="64"/>
      </top>
      <bottom style="thin">
        <color theme="0"/>
      </bottom>
      <diagonal/>
    </border>
    <border>
      <left/>
      <right style="medium">
        <color indexed="64"/>
      </right>
      <top style="medium">
        <color theme="1"/>
      </top>
      <bottom/>
      <diagonal/>
    </border>
    <border>
      <left/>
      <right style="medium">
        <color indexed="64"/>
      </right>
      <top/>
      <bottom style="medium">
        <color theme="1"/>
      </bottom>
      <diagonal/>
    </border>
    <border>
      <left/>
      <right style="dotted">
        <color indexed="64"/>
      </right>
      <top style="dotted">
        <color indexed="64"/>
      </top>
      <bottom style="dotted">
        <color indexed="64"/>
      </bottom>
      <diagonal/>
    </border>
    <border>
      <left/>
      <right style="dotted">
        <color indexed="64"/>
      </right>
      <top/>
      <bottom/>
      <diagonal/>
    </border>
    <border>
      <left style="medium">
        <color indexed="64"/>
      </left>
      <right/>
      <top/>
      <bottom style="dotted">
        <color indexed="64"/>
      </bottom>
      <diagonal/>
    </border>
    <border>
      <left style="medium">
        <color indexed="64"/>
      </left>
      <right/>
      <top style="dotted">
        <color indexed="64"/>
      </top>
      <bottom style="medium">
        <color indexed="64"/>
      </bottom>
      <diagonal/>
    </border>
    <border>
      <left/>
      <right/>
      <top/>
      <bottom style="dotted">
        <color indexed="64"/>
      </bottom>
      <diagonal/>
    </border>
    <border>
      <left/>
      <right style="thin">
        <color indexed="64"/>
      </right>
      <top style="dotted">
        <color indexed="64"/>
      </top>
      <bottom style="dotted">
        <color indexed="64"/>
      </bottom>
      <diagonal/>
    </border>
    <border>
      <left/>
      <right style="thin">
        <color indexed="64"/>
      </right>
      <top style="dotted">
        <color auto="1"/>
      </top>
      <bottom/>
      <diagonal/>
    </border>
    <border>
      <left/>
      <right style="thin">
        <color indexed="64"/>
      </right>
      <top style="dotted">
        <color indexed="64"/>
      </top>
      <bottom style="medium">
        <color indexed="64"/>
      </bottom>
      <diagonal/>
    </border>
    <border>
      <left/>
      <right style="dotted">
        <color indexed="64"/>
      </right>
      <top style="medium">
        <color indexed="64"/>
      </top>
      <bottom style="dotted">
        <color indexed="64"/>
      </bottom>
      <diagonal/>
    </border>
    <border>
      <left/>
      <right style="dotted">
        <color indexed="64"/>
      </right>
      <top/>
      <bottom style="dotted">
        <color indexed="64"/>
      </bottom>
      <diagonal/>
    </border>
    <border>
      <left/>
      <right style="dotted">
        <color indexed="64"/>
      </right>
      <top/>
      <bottom style="medium">
        <color indexed="64"/>
      </bottom>
      <diagonal/>
    </border>
    <border>
      <left style="dotted">
        <color indexed="64"/>
      </left>
      <right style="medium">
        <color indexed="64"/>
      </right>
      <top/>
      <bottom style="medium">
        <color indexed="64"/>
      </bottom>
      <diagonal/>
    </border>
    <border>
      <left/>
      <right style="medium">
        <color indexed="64"/>
      </right>
      <top style="thin">
        <color theme="0"/>
      </top>
      <bottom/>
      <diagonal/>
    </border>
    <border>
      <left/>
      <right/>
      <top style="thin">
        <color theme="1"/>
      </top>
      <bottom/>
      <diagonal/>
    </border>
    <border>
      <left style="medium">
        <color indexed="64"/>
      </left>
      <right/>
      <top style="dotted">
        <color indexed="64"/>
      </top>
      <bottom style="dotted">
        <color indexed="64"/>
      </bottom>
      <diagonal/>
    </border>
    <border>
      <left style="medium">
        <color indexed="64"/>
      </left>
      <right style="dotted">
        <color indexed="64"/>
      </right>
      <top style="thin">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thin">
        <color indexed="64"/>
      </bottom>
      <diagonal/>
    </border>
    <border>
      <left style="medium">
        <color indexed="64"/>
      </left>
      <right style="dotted">
        <color indexed="64"/>
      </right>
      <top/>
      <bottom style="dotted">
        <color indexed="64"/>
      </bottom>
      <diagonal/>
    </border>
    <border>
      <left style="medium">
        <color indexed="64"/>
      </left>
      <right style="dotted">
        <color indexed="64"/>
      </right>
      <top/>
      <bottom/>
      <diagonal/>
    </border>
    <border>
      <left style="medium">
        <color indexed="64"/>
      </left>
      <right style="dotted">
        <color indexed="64"/>
      </right>
      <top style="medium">
        <color indexed="64"/>
      </top>
      <bottom style="dotted">
        <color indexed="64"/>
      </bottom>
      <diagonal/>
    </border>
    <border>
      <left/>
      <right style="medium">
        <color indexed="64"/>
      </right>
      <top style="dotted">
        <color auto="1"/>
      </top>
      <bottom style="dotted">
        <color auto="1"/>
      </bottom>
      <diagonal/>
    </border>
    <border>
      <left style="medium">
        <color indexed="64"/>
      </left>
      <right style="dotted">
        <color indexed="64"/>
      </right>
      <top/>
      <bottom style="medium">
        <color indexed="64"/>
      </bottom>
      <diagonal/>
    </border>
    <border>
      <left/>
      <right/>
      <top style="medium">
        <color indexed="64"/>
      </top>
      <bottom style="thin">
        <color theme="0"/>
      </bottom>
      <diagonal/>
    </border>
    <border>
      <left style="medium">
        <color indexed="64"/>
      </left>
      <right/>
      <top style="thin">
        <color theme="0"/>
      </top>
      <bottom style="thin">
        <color theme="0"/>
      </bottom>
      <diagonal/>
    </border>
    <border>
      <left/>
      <right style="medium">
        <color indexed="64"/>
      </right>
      <top style="thin">
        <color theme="0"/>
      </top>
      <bottom style="thin">
        <color theme="0"/>
      </bottom>
      <diagonal/>
    </border>
    <border>
      <left style="medium">
        <color indexed="64"/>
      </left>
      <right/>
      <top/>
      <bottom style="medium">
        <color theme="0"/>
      </bottom>
      <diagonal/>
    </border>
    <border>
      <left style="medium">
        <color indexed="64"/>
      </left>
      <right/>
      <top style="medium">
        <color theme="0"/>
      </top>
      <bottom/>
      <diagonal/>
    </border>
    <border>
      <left style="medium">
        <color indexed="64"/>
      </left>
      <right style="thin">
        <color theme="0"/>
      </right>
      <top style="medium">
        <color theme="0"/>
      </top>
      <bottom style="medium">
        <color theme="0"/>
      </bottom>
      <diagonal/>
    </border>
    <border>
      <left style="medium">
        <color indexed="64"/>
      </left>
      <right style="thin">
        <color theme="0"/>
      </right>
      <top style="medium">
        <color theme="0"/>
      </top>
      <bottom/>
      <diagonal/>
    </border>
    <border>
      <left style="thin">
        <color indexed="64"/>
      </left>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dotted">
        <color indexed="64"/>
      </top>
      <bottom style="thin">
        <color indexed="64"/>
      </bottom>
      <diagonal/>
    </border>
    <border>
      <left style="medium">
        <color indexed="64"/>
      </left>
      <right/>
      <top style="thin">
        <color indexed="64"/>
      </top>
      <bottom/>
      <diagonal/>
    </border>
    <border>
      <left style="medium">
        <color auto="1"/>
      </left>
      <right/>
      <top style="dotted">
        <color auto="1"/>
      </top>
      <bottom style="thin">
        <color indexed="64"/>
      </bottom>
      <diagonal/>
    </border>
    <border>
      <left style="thin">
        <color indexed="64"/>
      </left>
      <right/>
      <top style="medium">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medium">
        <color indexed="64"/>
      </bottom>
      <diagonal/>
    </border>
    <border>
      <left style="thin">
        <color indexed="64"/>
      </left>
      <right/>
      <top style="dotted">
        <color indexed="64"/>
      </top>
      <bottom/>
      <diagonal/>
    </border>
    <border>
      <left/>
      <right style="thin">
        <color indexed="64"/>
      </right>
      <top/>
      <bottom style="dotted">
        <color indexed="64"/>
      </bottom>
      <diagonal/>
    </border>
    <border>
      <left style="medium">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medium">
        <color indexed="64"/>
      </right>
      <top/>
      <bottom style="thin">
        <color indexed="64"/>
      </bottom>
      <diagonal/>
    </border>
    <border>
      <left/>
      <right style="dotted">
        <color indexed="64"/>
      </right>
      <top/>
      <bottom style="thin">
        <color indexed="64"/>
      </bottom>
      <diagonal/>
    </border>
    <border>
      <left style="thin">
        <color indexed="64"/>
      </left>
      <right style="thin">
        <color indexed="64"/>
      </right>
      <top style="dotted">
        <color indexed="64"/>
      </top>
      <bottom/>
      <diagonal/>
    </border>
    <border>
      <left/>
      <right style="dotted">
        <color indexed="64"/>
      </right>
      <top style="dotted">
        <color indexed="64"/>
      </top>
      <bottom/>
      <diagonal/>
    </border>
    <border>
      <left/>
      <right style="medium">
        <color indexed="64"/>
      </right>
      <top style="dotted">
        <color indexed="64"/>
      </top>
      <bottom/>
      <diagonal/>
    </border>
    <border>
      <left/>
      <right/>
      <top/>
      <bottom style="thin">
        <color indexed="64"/>
      </bottom>
      <diagonal/>
    </border>
    <border>
      <left/>
      <right style="thin">
        <color theme="0"/>
      </right>
      <top style="thin">
        <color theme="0"/>
      </top>
      <bottom style="medium">
        <color indexed="64"/>
      </bottom>
      <diagonal/>
    </border>
    <border>
      <left style="medium">
        <color theme="0"/>
      </left>
      <right/>
      <top style="medium">
        <color theme="0"/>
      </top>
      <bottom/>
      <diagonal/>
    </border>
    <border>
      <left style="medium">
        <color theme="0"/>
      </left>
      <right/>
      <top/>
      <bottom style="medium">
        <color theme="0"/>
      </bottom>
      <diagonal/>
    </border>
    <border>
      <left style="medium">
        <color indexed="64"/>
      </left>
      <right/>
      <top style="medium">
        <color theme="0"/>
      </top>
      <bottom style="thin">
        <color theme="0"/>
      </bottom>
      <diagonal/>
    </border>
    <border>
      <left/>
      <right style="medium">
        <color auto="1"/>
      </right>
      <top style="medium">
        <color theme="0"/>
      </top>
      <bottom style="thin">
        <color theme="0"/>
      </bottom>
      <diagonal/>
    </border>
    <border>
      <left style="medium">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medium">
        <color indexed="64"/>
      </right>
      <top style="dotted">
        <color indexed="64"/>
      </top>
      <bottom/>
      <diagonal/>
    </border>
    <border>
      <left/>
      <right style="medium">
        <color indexed="64"/>
      </right>
      <top/>
      <bottom style="dotted">
        <color auto="1"/>
      </bottom>
      <diagonal/>
    </border>
    <border>
      <left/>
      <right style="dotted">
        <color indexed="64"/>
      </right>
      <top style="thin">
        <color indexed="64"/>
      </top>
      <bottom/>
      <diagonal/>
    </border>
    <border>
      <left style="medium">
        <color indexed="64"/>
      </left>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bottom style="thin">
        <color indexed="64"/>
      </bottom>
      <diagonal/>
    </border>
    <border>
      <left style="dotted">
        <color indexed="64"/>
      </left>
      <right style="dotted">
        <color indexed="64"/>
      </right>
      <top style="thin">
        <color indexed="64"/>
      </top>
      <bottom/>
      <diagonal/>
    </border>
    <border>
      <left style="dotted">
        <color indexed="64"/>
      </left>
      <right style="medium">
        <color indexed="64"/>
      </right>
      <top style="thin">
        <color indexed="64"/>
      </top>
      <bottom/>
      <diagonal/>
    </border>
    <border>
      <left/>
      <right style="dotted">
        <color indexed="64"/>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style="thin">
        <color indexed="64"/>
      </right>
      <top/>
      <bottom/>
      <diagonal/>
    </border>
    <border>
      <left/>
      <right style="medium">
        <color auto="1"/>
      </right>
      <top/>
      <bottom style="medium">
        <color theme="0"/>
      </bottom>
      <diagonal/>
    </border>
    <border>
      <left/>
      <right style="dotted">
        <color indexed="64"/>
      </right>
      <top style="thin">
        <color indexed="64"/>
      </top>
      <bottom style="dotted">
        <color indexed="64"/>
      </bottom>
      <diagonal/>
    </border>
    <border>
      <left/>
      <right/>
      <top style="dotted">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thin">
        <color indexed="64"/>
      </top>
      <bottom style="dotted">
        <color auto="1"/>
      </bottom>
      <diagonal/>
    </border>
    <border>
      <left/>
      <right/>
      <top style="thin">
        <color indexed="64"/>
      </top>
      <bottom style="dotted">
        <color indexed="64"/>
      </bottom>
      <diagonal/>
    </border>
    <border>
      <left/>
      <right/>
      <top style="dotted">
        <color auto="1"/>
      </top>
      <bottom style="thin">
        <color indexed="64"/>
      </bottom>
      <diagonal/>
    </border>
    <border>
      <left style="thin">
        <color indexed="64"/>
      </left>
      <right style="medium">
        <color indexed="64"/>
      </right>
      <top style="thin">
        <color indexed="64"/>
      </top>
      <bottom/>
      <diagonal/>
    </border>
    <border>
      <left style="medium">
        <color indexed="64"/>
      </left>
      <right/>
      <top style="thin">
        <color theme="0"/>
      </top>
      <bottom/>
      <diagonal/>
    </border>
    <border>
      <left/>
      <right/>
      <top style="thin">
        <color theme="0"/>
      </top>
      <bottom/>
      <diagonal/>
    </border>
    <border>
      <left style="medium">
        <color indexed="64"/>
      </left>
      <right style="medium">
        <color indexed="64"/>
      </right>
      <top style="thin">
        <color theme="0"/>
      </top>
      <bottom/>
      <diagonal/>
    </border>
    <border>
      <left style="medium">
        <color indexed="64"/>
      </left>
      <right style="medium">
        <color indexed="64"/>
      </right>
      <top style="thin">
        <color theme="0"/>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medium">
        <color indexed="64"/>
      </right>
      <top/>
      <bottom style="thin">
        <color theme="0"/>
      </bottom>
      <diagonal/>
    </border>
    <border>
      <left style="medium">
        <color indexed="64"/>
      </left>
      <right/>
      <top style="medium">
        <color theme="0"/>
      </top>
      <bottom style="medium">
        <color theme="0"/>
      </bottom>
      <diagonal/>
    </border>
    <border>
      <left style="medium">
        <color indexed="64"/>
      </left>
      <right/>
      <top style="medium">
        <color theme="0"/>
      </top>
      <bottom style="medium">
        <color indexed="64"/>
      </bottom>
      <diagonal/>
    </border>
    <border>
      <left/>
      <right style="medium">
        <color auto="1"/>
      </right>
      <top style="medium">
        <color theme="0"/>
      </top>
      <bottom style="medium">
        <color indexed="64"/>
      </bottom>
      <diagonal/>
    </border>
    <border>
      <left style="medium">
        <color theme="0"/>
      </left>
      <right/>
      <top/>
      <bottom/>
      <diagonal/>
    </border>
    <border>
      <left style="medium">
        <color rgb="FF000000"/>
      </left>
      <right style="medium">
        <color indexed="64"/>
      </right>
      <top/>
      <bottom/>
      <diagonal/>
    </border>
    <border>
      <left/>
      <right/>
      <top/>
      <bottom style="thin">
        <color theme="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indexed="64"/>
      </left>
      <right style="medium">
        <color indexed="64"/>
      </right>
      <top style="medium">
        <color theme="1"/>
      </top>
      <bottom/>
      <diagonal/>
    </border>
    <border>
      <left style="medium">
        <color theme="0"/>
      </left>
      <right style="medium">
        <color theme="0"/>
      </right>
      <top style="medium">
        <color theme="0"/>
      </top>
      <bottom/>
      <diagonal/>
    </border>
    <border>
      <left style="medium">
        <color theme="0"/>
      </left>
      <right style="medium">
        <color theme="0"/>
      </right>
      <top/>
      <bottom/>
      <diagonal/>
    </border>
    <border>
      <left style="medium">
        <color auto="1"/>
      </left>
      <right style="medium">
        <color rgb="FF000000"/>
      </right>
      <top/>
      <bottom/>
      <diagonal/>
    </border>
    <border>
      <left/>
      <right style="medium">
        <color rgb="FF000000"/>
      </right>
      <top style="medium">
        <color indexed="64"/>
      </top>
      <bottom/>
      <diagonal/>
    </border>
    <border>
      <left/>
      <right/>
      <top style="medium">
        <color indexed="64"/>
      </top>
      <bottom style="dotted">
        <color indexed="64"/>
      </bottom>
      <diagonal/>
    </border>
    <border>
      <left/>
      <right style="medium">
        <color rgb="FF000000"/>
      </right>
      <top/>
      <bottom style="thin">
        <color indexed="64"/>
      </bottom>
      <diagonal/>
    </border>
    <border>
      <left/>
      <right style="medium">
        <color rgb="FF000000"/>
      </right>
      <top style="thin">
        <color indexed="64"/>
      </top>
      <bottom/>
      <diagonal/>
    </border>
    <border>
      <left/>
      <right/>
      <top style="thin">
        <color indexed="64"/>
      </top>
      <bottom style="thin">
        <color indexed="64"/>
      </bottom>
      <diagonal/>
    </border>
    <border>
      <left/>
      <right style="medium">
        <color rgb="FF000000"/>
      </right>
      <top style="thin">
        <color indexed="64"/>
      </top>
      <bottom style="thin">
        <color indexed="64"/>
      </bottom>
      <diagonal/>
    </border>
    <border>
      <left/>
      <right style="medium">
        <color rgb="FF000000"/>
      </right>
      <top style="thin">
        <color indexed="64"/>
      </top>
      <bottom style="medium">
        <color indexed="64"/>
      </bottom>
      <diagonal/>
    </border>
    <border>
      <left style="medium">
        <color indexed="64"/>
      </left>
      <right style="medium">
        <color rgb="FF000000"/>
      </right>
      <top/>
      <bottom style="medium">
        <color indexed="64"/>
      </bottom>
      <diagonal/>
    </border>
    <border>
      <left/>
      <right/>
      <top style="dotted">
        <color indexed="64"/>
      </top>
      <bottom/>
      <diagonal/>
    </border>
    <border>
      <left/>
      <right style="medium">
        <color rgb="FF000000"/>
      </right>
      <top/>
      <bottom style="medium">
        <color indexed="64"/>
      </bottom>
      <diagonal/>
    </border>
    <border>
      <left style="thin">
        <color indexed="64"/>
      </left>
      <right/>
      <top/>
      <bottom style="thin">
        <color indexed="64"/>
      </bottom>
      <diagonal/>
    </border>
    <border>
      <left/>
      <right/>
      <top style="thin">
        <color indexed="64"/>
      </top>
      <bottom style="medium">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auto="1"/>
      </top>
      <bottom/>
      <diagonal/>
    </border>
    <border>
      <left style="medium">
        <color indexed="64"/>
      </left>
      <right style="thin">
        <color indexed="64"/>
      </right>
      <top style="dotted">
        <color indexed="64"/>
      </top>
      <bottom style="dotted">
        <color indexed="64"/>
      </bottom>
      <diagonal/>
    </border>
    <border>
      <left style="medium">
        <color rgb="FF000000"/>
      </left>
      <right/>
      <top style="medium">
        <color indexed="64"/>
      </top>
      <bottom style="medium">
        <color indexed="64"/>
      </bottom>
      <diagonal/>
    </border>
    <border>
      <left style="thin">
        <color indexed="64"/>
      </left>
      <right/>
      <top style="thin">
        <color theme="0"/>
      </top>
      <bottom/>
      <diagonal/>
    </border>
    <border>
      <left style="thin">
        <color indexed="64"/>
      </left>
      <right/>
      <top style="thin">
        <color theme="0"/>
      </top>
      <bottom style="medium">
        <color indexed="64"/>
      </bottom>
      <diagonal/>
    </border>
    <border>
      <left style="dotted">
        <color indexed="64"/>
      </left>
      <right/>
      <top style="medium">
        <color indexed="64"/>
      </top>
      <bottom/>
      <diagonal/>
    </border>
    <border>
      <left style="dotted">
        <color indexed="64"/>
      </left>
      <right/>
      <top/>
      <bottom/>
      <diagonal/>
    </border>
    <border>
      <left style="dotted">
        <color indexed="64"/>
      </left>
      <right/>
      <top/>
      <bottom style="medium">
        <color indexed="64"/>
      </bottom>
      <diagonal/>
    </border>
    <border>
      <left style="medium">
        <color indexed="64"/>
      </left>
      <right/>
      <top style="thin">
        <color theme="0"/>
      </top>
      <bottom style="medium">
        <color indexed="64"/>
      </bottom>
      <diagonal/>
    </border>
    <border>
      <left style="medium">
        <color indexed="64"/>
      </left>
      <right style="medium">
        <color indexed="64"/>
      </right>
      <top style="thin">
        <color theme="0"/>
      </top>
      <bottom style="thin">
        <color theme="0"/>
      </bottom>
      <diagonal/>
    </border>
    <border>
      <left/>
      <right style="medium">
        <color indexed="64"/>
      </right>
      <top/>
      <bottom style="thin">
        <color theme="0"/>
      </bottom>
      <diagonal/>
    </border>
    <border>
      <left style="medium">
        <color auto="1"/>
      </left>
      <right style="medium">
        <color rgb="FF000000"/>
      </right>
      <top style="thin">
        <color indexed="64"/>
      </top>
      <bottom/>
      <diagonal/>
    </border>
    <border>
      <left style="medium">
        <color indexed="64"/>
      </left>
      <right style="medium">
        <color rgb="FF000000"/>
      </right>
      <top/>
      <bottom style="thin">
        <color indexed="64"/>
      </bottom>
      <diagonal/>
    </border>
    <border>
      <left/>
      <right style="thin">
        <color indexed="64"/>
      </right>
      <top style="dotted">
        <color indexed="64"/>
      </top>
      <bottom style="thin">
        <color indexed="64"/>
      </bottom>
      <diagonal/>
    </border>
    <border>
      <left style="medium">
        <color rgb="FF000000"/>
      </left>
      <right/>
      <top style="thin">
        <color indexed="64"/>
      </top>
      <bottom style="dotted">
        <color indexed="64"/>
      </bottom>
      <diagonal/>
    </border>
    <border>
      <left style="medium">
        <color rgb="FF000000"/>
      </left>
      <right/>
      <top/>
      <bottom style="dotted">
        <color indexed="64"/>
      </bottom>
      <diagonal/>
    </border>
    <border>
      <left style="medium">
        <color rgb="FF000000"/>
      </left>
      <right/>
      <top style="dotted">
        <color indexed="64"/>
      </top>
      <bottom style="dotted">
        <color indexed="64"/>
      </bottom>
      <diagonal/>
    </border>
    <border>
      <left style="medium">
        <color rgb="FF000000"/>
      </left>
      <right/>
      <top style="dotted">
        <color indexed="64"/>
      </top>
      <bottom style="thin">
        <color indexed="64"/>
      </bottom>
      <diagonal/>
    </border>
    <border>
      <left style="medium">
        <color auto="1"/>
      </left>
      <right style="thin">
        <color indexed="64"/>
      </right>
      <top style="dotted">
        <color auto="1"/>
      </top>
      <bottom style="thin">
        <color indexed="64"/>
      </bottom>
      <diagonal/>
    </border>
    <border>
      <left style="medium">
        <color indexed="64"/>
      </left>
      <right style="thin">
        <color indexed="64"/>
      </right>
      <top style="thin">
        <color indexed="64"/>
      </top>
      <bottom style="dotted">
        <color auto="1"/>
      </bottom>
      <diagonal/>
    </border>
    <border>
      <left style="medium">
        <color rgb="FF000000"/>
      </left>
      <right/>
      <top style="thin">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dotted">
        <color indexed="64"/>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right style="medium">
        <color theme="0"/>
      </right>
      <top/>
      <bottom/>
      <diagonal/>
    </border>
    <border>
      <left/>
      <right style="medium">
        <color theme="0"/>
      </right>
      <top/>
      <bottom style="medium">
        <color theme="0"/>
      </bottom>
      <diagonal/>
    </border>
    <border>
      <left/>
      <right/>
      <top style="medium">
        <color theme="0"/>
      </top>
      <bottom style="medium">
        <color theme="0"/>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rgb="FF000000"/>
      </left>
      <right style="medium">
        <color indexed="64"/>
      </right>
      <top style="medium">
        <color indexed="64"/>
      </top>
      <bottom/>
      <diagonal/>
    </border>
    <border>
      <left style="medium">
        <color rgb="FF000000"/>
      </left>
      <right style="medium">
        <color indexed="64"/>
      </right>
      <top/>
      <bottom style="medium">
        <color indexed="64"/>
      </bottom>
      <diagonal/>
    </border>
    <border>
      <left/>
      <right/>
      <top style="thin">
        <color theme="0"/>
      </top>
      <bottom style="medium">
        <color indexed="64"/>
      </bottom>
      <diagonal/>
    </border>
    <border>
      <left style="thin">
        <color theme="0"/>
      </left>
      <right/>
      <top style="medium">
        <color theme="0"/>
      </top>
      <bottom style="medium">
        <color theme="0"/>
      </bottom>
      <diagonal/>
    </border>
    <border>
      <left style="thin">
        <color theme="0"/>
      </left>
      <right/>
      <top style="medium">
        <color theme="0"/>
      </top>
      <bottom/>
      <diagonal/>
    </border>
    <border>
      <left style="medium">
        <color indexed="64"/>
      </left>
      <right style="medium">
        <color rgb="FF000000"/>
      </right>
      <top style="medium">
        <color rgb="FF000000"/>
      </top>
      <bottom/>
      <diagonal/>
    </border>
    <border>
      <left/>
      <right style="medium">
        <color indexed="64"/>
      </right>
      <top style="medium">
        <color rgb="FF000000"/>
      </top>
      <bottom/>
      <diagonal/>
    </border>
    <border>
      <left/>
      <right style="medium">
        <color indexed="64"/>
      </right>
      <top/>
      <bottom style="medium">
        <color rgb="FF000000"/>
      </bottom>
      <diagonal/>
    </border>
    <border>
      <left style="medium">
        <color indexed="64"/>
      </left>
      <right style="medium">
        <color rgb="FF000000"/>
      </right>
      <top/>
      <bottom style="medium">
        <color rgb="FF000000"/>
      </bottom>
      <diagonal/>
    </border>
    <border>
      <left style="medium">
        <color rgb="FF000000"/>
      </left>
      <right/>
      <top/>
      <bottom style="medium">
        <color indexed="64"/>
      </bottom>
      <diagonal/>
    </border>
    <border>
      <left style="thin">
        <color theme="1"/>
      </left>
      <right/>
      <top/>
      <bottom/>
      <diagonal/>
    </border>
    <border>
      <left style="thin">
        <color indexed="64"/>
      </left>
      <right/>
      <top style="thin">
        <color theme="1"/>
      </top>
      <bottom style="thin">
        <color theme="1"/>
      </bottom>
      <diagonal/>
    </border>
    <border>
      <left style="thin">
        <color indexed="64"/>
      </left>
      <right/>
      <top style="thin">
        <color theme="1"/>
      </top>
      <bottom/>
      <diagonal/>
    </border>
    <border>
      <left style="thin">
        <color indexed="64"/>
      </left>
      <right/>
      <top/>
      <bottom style="thin">
        <color theme="1"/>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dotted">
        <color indexed="64"/>
      </right>
      <top style="medium">
        <color indexed="64"/>
      </top>
      <bottom style="thin">
        <color indexed="64"/>
      </bottom>
      <diagonal/>
    </border>
    <border>
      <left/>
      <right style="dotted">
        <color indexed="64"/>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style="medium">
        <color theme="0"/>
      </bottom>
      <diagonal/>
    </border>
  </borders>
  <cellStyleXfs count="14">
    <xf numFmtId="0" fontId="0" fillId="0" borderId="0"/>
    <xf numFmtId="164" fontId="5" fillId="0" borderId="0" applyFont="0" applyFill="0" applyBorder="0" applyAlignment="0" applyProtection="0"/>
    <xf numFmtId="0" fontId="7" fillId="0" borderId="0"/>
    <xf numFmtId="9" fontId="7" fillId="0" borderId="0" applyFont="0" applyFill="0" applyBorder="0" applyAlignment="0" applyProtection="0"/>
    <xf numFmtId="165" fontId="7" fillId="0" borderId="0" applyFont="0" applyFill="0" applyBorder="0" applyAlignment="0" applyProtection="0"/>
    <xf numFmtId="0" fontId="10" fillId="0" borderId="0" applyNumberFormat="0" applyFill="0" applyBorder="0" applyAlignment="0" applyProtection="0"/>
    <xf numFmtId="0" fontId="33" fillId="0" borderId="0" applyNumberFormat="0" applyFill="0" applyBorder="0" applyAlignment="0" applyProtection="0"/>
    <xf numFmtId="165" fontId="5" fillId="0" borderId="0" applyFont="0" applyFill="0" applyBorder="0" applyAlignment="0" applyProtection="0"/>
    <xf numFmtId="9" fontId="5" fillId="0" borderId="0" applyFont="0" applyFill="0" applyBorder="0" applyAlignment="0" applyProtection="0"/>
    <xf numFmtId="0" fontId="4" fillId="0" borderId="0"/>
    <xf numFmtId="0" fontId="5" fillId="0" borderId="0"/>
    <xf numFmtId="0" fontId="3" fillId="0" borderId="0"/>
    <xf numFmtId="0" fontId="2" fillId="0" borderId="0"/>
    <xf numFmtId="0" fontId="2" fillId="0" borderId="0"/>
  </cellStyleXfs>
  <cellXfs count="1024">
    <xf numFmtId="0" fontId="0" fillId="0" borderId="0" xfId="0"/>
    <xf numFmtId="0" fontId="7" fillId="0" borderId="0" xfId="2" applyProtection="1">
      <protection hidden="1"/>
    </xf>
    <xf numFmtId="0" fontId="0" fillId="0" borderId="0" xfId="0" applyAlignment="1" applyProtection="1">
      <alignment vertical="center"/>
      <protection hidden="1"/>
    </xf>
    <xf numFmtId="0" fontId="0" fillId="0" borderId="0" xfId="0" applyAlignment="1">
      <alignment vertical="center"/>
    </xf>
    <xf numFmtId="0" fontId="18" fillId="0" borderId="0" xfId="0" applyFont="1"/>
    <xf numFmtId="0" fontId="25" fillId="17" borderId="0" xfId="0" applyFont="1" applyFill="1" applyAlignment="1" applyProtection="1">
      <alignment horizontal="right" vertical="center"/>
      <protection hidden="1"/>
    </xf>
    <xf numFmtId="0" fontId="18" fillId="6" borderId="32" xfId="0" applyFont="1" applyFill="1" applyBorder="1" applyAlignment="1" applyProtection="1">
      <alignment horizontal="right" vertical="center"/>
      <protection hidden="1"/>
    </xf>
    <xf numFmtId="0" fontId="18" fillId="6" borderId="37" xfId="0" applyFont="1" applyFill="1" applyBorder="1" applyAlignment="1" applyProtection="1">
      <alignment horizontal="right" vertical="center"/>
      <protection hidden="1"/>
    </xf>
    <xf numFmtId="0" fontId="22" fillId="6" borderId="32" xfId="5" applyFont="1" applyFill="1" applyBorder="1" applyAlignment="1" applyProtection="1">
      <alignment horizontal="right" vertical="center"/>
      <protection hidden="1"/>
    </xf>
    <xf numFmtId="0" fontId="18" fillId="21" borderId="32" xfId="0" applyFont="1" applyFill="1" applyBorder="1" applyAlignment="1" applyProtection="1">
      <alignment horizontal="right" vertical="center"/>
      <protection hidden="1"/>
    </xf>
    <xf numFmtId="0" fontId="21" fillId="2" borderId="32" xfId="0" applyFont="1" applyFill="1" applyBorder="1" applyAlignment="1" applyProtection="1">
      <alignment horizontal="center" vertical="center" wrapText="1"/>
      <protection hidden="1"/>
    </xf>
    <xf numFmtId="0" fontId="21" fillId="2" borderId="0" xfId="0" applyFont="1" applyFill="1" applyAlignment="1" applyProtection="1">
      <alignment horizontal="center" vertical="center" wrapText="1"/>
      <protection hidden="1"/>
    </xf>
    <xf numFmtId="0" fontId="18" fillId="6" borderId="43" xfId="0" applyFont="1" applyFill="1" applyBorder="1" applyAlignment="1" applyProtection="1">
      <alignment horizontal="right" vertical="center"/>
      <protection hidden="1"/>
    </xf>
    <xf numFmtId="0" fontId="18" fillId="21" borderId="43" xfId="0" applyFont="1" applyFill="1" applyBorder="1" applyAlignment="1" applyProtection="1">
      <alignment horizontal="right" vertical="center"/>
      <protection hidden="1"/>
    </xf>
    <xf numFmtId="0" fontId="18" fillId="23" borderId="41" xfId="0" applyFont="1" applyFill="1" applyBorder="1" applyAlignment="1" applyProtection="1">
      <alignment horizontal="right" vertical="center"/>
      <protection hidden="1"/>
    </xf>
    <xf numFmtId="0" fontId="25" fillId="24" borderId="0" xfId="0" applyFont="1" applyFill="1" applyAlignment="1" applyProtection="1">
      <alignment horizontal="right" vertical="center"/>
      <protection hidden="1"/>
    </xf>
    <xf numFmtId="0" fontId="23" fillId="11" borderId="40" xfId="0" applyFont="1" applyFill="1" applyBorder="1" applyAlignment="1">
      <alignment horizontal="center" vertical="center" wrapText="1" readingOrder="1"/>
    </xf>
    <xf numFmtId="0" fontId="19" fillId="24" borderId="0" xfId="0" applyFont="1" applyFill="1" applyAlignment="1" applyProtection="1">
      <alignment horizontal="right" vertical="center"/>
      <protection hidden="1"/>
    </xf>
    <xf numFmtId="0" fontId="26" fillId="11" borderId="0" xfId="0" applyFont="1" applyFill="1" applyAlignment="1" applyProtection="1">
      <alignment horizontal="right" vertical="center" wrapText="1" readingOrder="1"/>
      <protection hidden="1"/>
    </xf>
    <xf numFmtId="1" fontId="27" fillId="4" borderId="32" xfId="0" applyNumberFormat="1" applyFont="1" applyFill="1" applyBorder="1" applyAlignment="1" applyProtection="1">
      <alignment horizontal="center" vertical="center"/>
      <protection locked="0"/>
    </xf>
    <xf numFmtId="168" fontId="27" fillId="4" borderId="32" xfId="0" applyNumberFormat="1" applyFont="1" applyFill="1" applyBorder="1" applyAlignment="1" applyProtection="1">
      <alignment horizontal="center" vertical="center"/>
      <protection locked="0"/>
    </xf>
    <xf numFmtId="0" fontId="28" fillId="11" borderId="33" xfId="0" applyFont="1" applyFill="1" applyBorder="1" applyAlignment="1" applyProtection="1">
      <alignment horizontal="center" vertical="center"/>
      <protection locked="0"/>
    </xf>
    <xf numFmtId="168" fontId="27" fillId="3" borderId="32" xfId="0" applyNumberFormat="1" applyFont="1" applyFill="1" applyBorder="1" applyAlignment="1" applyProtection="1">
      <alignment horizontal="center" vertical="center"/>
      <protection locked="0"/>
    </xf>
    <xf numFmtId="0" fontId="27" fillId="12" borderId="33" xfId="0" applyFont="1" applyFill="1" applyBorder="1" applyAlignment="1" applyProtection="1">
      <alignment horizontal="center" vertical="center"/>
      <protection locked="0"/>
    </xf>
    <xf numFmtId="0" fontId="27" fillId="12" borderId="33" xfId="0" applyFont="1" applyFill="1" applyBorder="1" applyAlignment="1" applyProtection="1">
      <alignment vertical="center" wrapText="1"/>
      <protection locked="0"/>
    </xf>
    <xf numFmtId="0" fontId="29" fillId="17" borderId="0" xfId="0" applyFont="1" applyFill="1" applyAlignment="1" applyProtection="1">
      <alignment horizontal="right" vertical="center"/>
      <protection hidden="1"/>
    </xf>
    <xf numFmtId="0" fontId="19" fillId="24" borderId="47" xfId="0" applyFont="1" applyFill="1" applyBorder="1" applyAlignment="1" applyProtection="1">
      <alignment horizontal="right" vertical="center"/>
      <protection hidden="1"/>
    </xf>
    <xf numFmtId="0" fontId="7" fillId="6" borderId="50" xfId="2" applyFill="1" applyBorder="1" applyAlignment="1" applyProtection="1">
      <alignment horizontal="center"/>
      <protection hidden="1"/>
    </xf>
    <xf numFmtId="1" fontId="7" fillId="3" borderId="50" xfId="2" applyNumberFormat="1" applyFill="1" applyBorder="1" applyAlignment="1" applyProtection="1">
      <alignment horizontal="center"/>
      <protection locked="0"/>
    </xf>
    <xf numFmtId="0" fontId="7" fillId="7" borderId="36" xfId="2" applyFill="1" applyBorder="1" applyAlignment="1" applyProtection="1">
      <alignment horizontal="center"/>
      <protection hidden="1"/>
    </xf>
    <xf numFmtId="1" fontId="7" fillId="4" borderId="36" xfId="2" applyNumberFormat="1" applyFill="1" applyBorder="1" applyAlignment="1" applyProtection="1">
      <alignment horizontal="center"/>
      <protection locked="0"/>
    </xf>
    <xf numFmtId="0" fontId="7" fillId="6" borderId="36" xfId="2" applyFill="1" applyBorder="1" applyAlignment="1" applyProtection="1">
      <alignment horizontal="center"/>
      <protection hidden="1"/>
    </xf>
    <xf numFmtId="1" fontId="7" fillId="3" borderId="36" xfId="2" applyNumberFormat="1" applyFill="1" applyBorder="1" applyAlignment="1" applyProtection="1">
      <alignment horizontal="center"/>
      <protection locked="0"/>
    </xf>
    <xf numFmtId="0" fontId="7" fillId="7" borderId="51" xfId="2" applyFill="1" applyBorder="1" applyAlignment="1" applyProtection="1">
      <alignment horizontal="center"/>
      <protection hidden="1"/>
    </xf>
    <xf numFmtId="1" fontId="7" fillId="4" borderId="51" xfId="2" applyNumberFormat="1" applyFill="1" applyBorder="1" applyAlignment="1" applyProtection="1">
      <alignment horizontal="center"/>
      <protection locked="0"/>
    </xf>
    <xf numFmtId="169" fontId="18" fillId="22" borderId="59" xfId="1" applyNumberFormat="1" applyFont="1" applyFill="1" applyBorder="1" applyAlignment="1" applyProtection="1">
      <alignment horizontal="center" vertical="center"/>
      <protection locked="0"/>
    </xf>
    <xf numFmtId="0" fontId="18" fillId="6" borderId="34" xfId="0" applyFont="1" applyFill="1" applyBorder="1" applyAlignment="1" applyProtection="1">
      <alignment horizontal="right" vertical="center"/>
      <protection hidden="1"/>
    </xf>
    <xf numFmtId="0" fontId="22" fillId="17" borderId="27" xfId="0" applyFont="1" applyFill="1" applyBorder="1" applyAlignment="1" applyProtection="1">
      <alignment horizontal="left" vertical="center" wrapText="1" indent="1"/>
      <protection hidden="1"/>
    </xf>
    <xf numFmtId="0" fontId="7" fillId="28" borderId="0" xfId="2" applyFill="1" applyProtection="1">
      <protection hidden="1"/>
    </xf>
    <xf numFmtId="0" fontId="7" fillId="6" borderId="7" xfId="2" applyFill="1" applyBorder="1" applyProtection="1">
      <protection hidden="1"/>
    </xf>
    <xf numFmtId="0" fontId="7" fillId="7" borderId="7" xfId="2" applyFill="1" applyBorder="1" applyProtection="1">
      <protection hidden="1"/>
    </xf>
    <xf numFmtId="0" fontId="7" fillId="7" borderId="8" xfId="2" applyFill="1" applyBorder="1" applyProtection="1">
      <protection hidden="1"/>
    </xf>
    <xf numFmtId="172" fontId="6" fillId="8" borderId="11" xfId="4" applyNumberFormat="1" applyFont="1" applyFill="1" applyBorder="1" applyAlignment="1" applyProtection="1">
      <alignment horizontal="center"/>
      <protection hidden="1"/>
    </xf>
    <xf numFmtId="171" fontId="6" fillId="8" borderId="11" xfId="4" applyNumberFormat="1" applyFont="1" applyFill="1" applyBorder="1" applyAlignment="1" applyProtection="1">
      <alignment horizontal="center"/>
      <protection hidden="1"/>
    </xf>
    <xf numFmtId="0" fontId="45" fillId="29" borderId="64" xfId="2" applyFont="1" applyFill="1" applyBorder="1" applyProtection="1">
      <protection hidden="1"/>
    </xf>
    <xf numFmtId="1" fontId="45" fillId="30" borderId="65" xfId="2" applyNumberFormat="1" applyFont="1" applyFill="1" applyBorder="1" applyAlignment="1" applyProtection="1">
      <alignment horizontal="center"/>
      <protection locked="0"/>
    </xf>
    <xf numFmtId="0" fontId="45" fillId="29" borderId="8" xfId="2" applyFont="1" applyFill="1" applyBorder="1" applyProtection="1">
      <protection hidden="1"/>
    </xf>
    <xf numFmtId="166" fontId="45" fillId="30" borderId="10" xfId="2" applyNumberFormat="1" applyFont="1" applyFill="1" applyBorder="1" applyAlignment="1" applyProtection="1">
      <alignment horizontal="center"/>
      <protection locked="0"/>
    </xf>
    <xf numFmtId="0" fontId="7" fillId="28" borderId="66" xfId="2" applyFill="1" applyBorder="1" applyProtection="1">
      <protection hidden="1"/>
    </xf>
    <xf numFmtId="0" fontId="7" fillId="31" borderId="0" xfId="2" applyFill="1" applyProtection="1">
      <protection hidden="1"/>
    </xf>
    <xf numFmtId="0" fontId="7" fillId="25" borderId="4" xfId="2" applyFill="1" applyBorder="1" applyProtection="1">
      <protection hidden="1"/>
    </xf>
    <xf numFmtId="166" fontId="7" fillId="3" borderId="6" xfId="2" applyNumberFormat="1" applyFill="1" applyBorder="1" applyAlignment="1" applyProtection="1">
      <alignment horizontal="center"/>
      <protection locked="0"/>
    </xf>
    <xf numFmtId="0" fontId="7" fillId="31" borderId="0" xfId="2" applyFill="1" applyAlignment="1" applyProtection="1">
      <alignment wrapText="1"/>
      <protection hidden="1"/>
    </xf>
    <xf numFmtId="0" fontId="9" fillId="34" borderId="55" xfId="2" applyFont="1" applyFill="1" applyBorder="1" applyAlignment="1" applyProtection="1">
      <alignment horizontal="center" vertical="center" wrapText="1"/>
      <protection hidden="1"/>
    </xf>
    <xf numFmtId="0" fontId="9" fillId="34" borderId="6" xfId="2" applyFont="1" applyFill="1" applyBorder="1" applyAlignment="1" applyProtection="1">
      <alignment horizontal="center" vertical="center" wrapText="1"/>
      <protection hidden="1"/>
    </xf>
    <xf numFmtId="0" fontId="9" fillId="34" borderId="5" xfId="2" applyFont="1" applyFill="1" applyBorder="1" applyAlignment="1" applyProtection="1">
      <alignment horizontal="center" vertical="center" wrapText="1"/>
      <protection hidden="1"/>
    </xf>
    <xf numFmtId="0" fontId="6" fillId="34" borderId="49" xfId="2" applyFont="1" applyFill="1" applyBorder="1" applyAlignment="1" applyProtection="1">
      <alignment horizontal="center" vertical="center" wrapText="1"/>
      <protection hidden="1"/>
    </xf>
    <xf numFmtId="0" fontId="6" fillId="34" borderId="6" xfId="2" applyFont="1" applyFill="1" applyBorder="1" applyAlignment="1" applyProtection="1">
      <alignment horizontal="center" vertical="center" wrapText="1"/>
      <protection hidden="1"/>
    </xf>
    <xf numFmtId="0" fontId="7" fillId="6" borderId="52" xfId="2" applyFill="1" applyBorder="1" applyAlignment="1" applyProtection="1">
      <alignment horizontal="center"/>
      <protection hidden="1"/>
    </xf>
    <xf numFmtId="0" fontId="7" fillId="31" borderId="7" xfId="2" applyFill="1" applyBorder="1" applyProtection="1">
      <protection hidden="1"/>
    </xf>
    <xf numFmtId="0" fontId="7" fillId="31" borderId="53" xfId="2" applyFill="1" applyBorder="1" applyAlignment="1" applyProtection="1">
      <alignment horizontal="center"/>
      <protection hidden="1"/>
    </xf>
    <xf numFmtId="0" fontId="7" fillId="6" borderId="53" xfId="2" applyFill="1" applyBorder="1" applyAlignment="1" applyProtection="1">
      <alignment horizontal="center"/>
      <protection hidden="1"/>
    </xf>
    <xf numFmtId="0" fontId="7" fillId="31" borderId="8" xfId="2" applyFill="1" applyBorder="1" applyProtection="1">
      <protection hidden="1"/>
    </xf>
    <xf numFmtId="0" fontId="7" fillId="31" borderId="54" xfId="2" applyFill="1" applyBorder="1" applyAlignment="1" applyProtection="1">
      <alignment horizontal="center"/>
      <protection hidden="1"/>
    </xf>
    <xf numFmtId="3" fontId="6" fillId="34" borderId="5" xfId="4" applyNumberFormat="1" applyFont="1" applyFill="1" applyBorder="1" applyAlignment="1" applyProtection="1">
      <alignment horizontal="center"/>
      <protection hidden="1"/>
    </xf>
    <xf numFmtId="4" fontId="6" fillId="34" borderId="49" xfId="4" applyNumberFormat="1" applyFont="1" applyFill="1" applyBorder="1" applyAlignment="1" applyProtection="1">
      <alignment horizontal="center"/>
      <protection hidden="1"/>
    </xf>
    <xf numFmtId="0" fontId="0" fillId="0" borderId="0" xfId="0" applyProtection="1">
      <protection locked="0"/>
    </xf>
    <xf numFmtId="0" fontId="22" fillId="17" borderId="48" xfId="0" applyFont="1" applyFill="1" applyBorder="1" applyAlignment="1" applyProtection="1">
      <alignment horizontal="left" vertical="center" wrapText="1" indent="1"/>
      <protection hidden="1"/>
    </xf>
    <xf numFmtId="0" fontId="49" fillId="11" borderId="0" xfId="0" applyFont="1" applyFill="1" applyAlignment="1" applyProtection="1">
      <alignment horizontal="right" vertical="center" wrapText="1" readingOrder="1"/>
      <protection hidden="1"/>
    </xf>
    <xf numFmtId="0" fontId="50" fillId="11" borderId="40" xfId="0" applyFont="1" applyFill="1" applyBorder="1" applyAlignment="1">
      <alignment horizontal="center" vertical="center" wrapText="1" readingOrder="1"/>
    </xf>
    <xf numFmtId="0" fontId="0" fillId="7" borderId="24" xfId="0" applyFill="1" applyBorder="1" applyAlignment="1">
      <alignment horizontal="center" vertical="center"/>
    </xf>
    <xf numFmtId="0" fontId="0" fillId="7" borderId="21" xfId="0" applyFill="1" applyBorder="1" applyAlignment="1">
      <alignment horizontal="center" vertical="center"/>
    </xf>
    <xf numFmtId="0" fontId="0" fillId="7" borderId="14" xfId="0" applyFill="1" applyBorder="1" applyAlignment="1">
      <alignment horizontal="center" vertical="center"/>
    </xf>
    <xf numFmtId="0" fontId="0" fillId="7" borderId="18" xfId="0" applyFill="1" applyBorder="1" applyAlignment="1">
      <alignment horizontal="center" vertical="center"/>
    </xf>
    <xf numFmtId="1" fontId="27" fillId="35" borderId="32" xfId="0" applyNumberFormat="1" applyFont="1" applyFill="1" applyBorder="1" applyAlignment="1" applyProtection="1">
      <alignment horizontal="center" vertical="center"/>
      <protection locked="0"/>
    </xf>
    <xf numFmtId="0" fontId="18" fillId="6" borderId="42" xfId="0" applyFont="1" applyFill="1" applyBorder="1" applyAlignment="1" applyProtection="1">
      <alignment horizontal="right" vertical="center"/>
      <protection hidden="1"/>
    </xf>
    <xf numFmtId="0" fontId="18" fillId="21" borderId="48" xfId="0" applyFont="1" applyFill="1" applyBorder="1" applyAlignment="1" applyProtection="1">
      <alignment horizontal="right" vertical="center"/>
      <protection hidden="1"/>
    </xf>
    <xf numFmtId="0" fontId="18" fillId="6" borderId="33" xfId="0" applyFont="1" applyFill="1" applyBorder="1" applyAlignment="1" applyProtection="1">
      <alignment horizontal="right" vertical="center"/>
      <protection hidden="1"/>
    </xf>
    <xf numFmtId="0" fontId="18" fillId="21" borderId="37" xfId="0" applyFont="1" applyFill="1" applyBorder="1" applyAlignment="1" applyProtection="1">
      <alignment horizontal="right" vertical="center"/>
      <protection hidden="1"/>
    </xf>
    <xf numFmtId="0" fontId="60" fillId="0" borderId="0" xfId="0" applyFont="1"/>
    <xf numFmtId="0" fontId="15" fillId="0" borderId="0" xfId="0" applyFont="1"/>
    <xf numFmtId="0" fontId="22" fillId="17" borderId="34" xfId="0" applyFont="1" applyFill="1" applyBorder="1" applyAlignment="1" applyProtection="1">
      <alignment horizontal="left" vertical="center" wrapText="1" indent="1"/>
      <protection hidden="1"/>
    </xf>
    <xf numFmtId="0" fontId="22" fillId="17" borderId="27" xfId="0" applyFont="1" applyFill="1" applyBorder="1" applyAlignment="1" applyProtection="1">
      <alignment horizontal="center" vertical="center" wrapText="1"/>
      <protection hidden="1"/>
    </xf>
    <xf numFmtId="0" fontId="22" fillId="17" borderId="34" xfId="0" applyFont="1" applyFill="1" applyBorder="1" applyAlignment="1" applyProtection="1">
      <alignment horizontal="left" vertical="center" indent="1"/>
      <protection hidden="1"/>
    </xf>
    <xf numFmtId="0" fontId="22" fillId="17" borderId="27" xfId="0" applyFont="1" applyFill="1" applyBorder="1" applyAlignment="1" applyProtection="1">
      <alignment horizontal="left" vertical="center" indent="1"/>
      <protection hidden="1"/>
    </xf>
    <xf numFmtId="1" fontId="27" fillId="4" borderId="34" xfId="0" applyNumberFormat="1" applyFont="1" applyFill="1" applyBorder="1" applyAlignment="1" applyProtection="1">
      <alignment horizontal="center" vertical="center"/>
      <protection locked="0"/>
    </xf>
    <xf numFmtId="1" fontId="27" fillId="3" borderId="34" xfId="0" applyNumberFormat="1" applyFont="1" applyFill="1" applyBorder="1" applyAlignment="1" applyProtection="1">
      <alignment horizontal="center" vertical="center"/>
      <protection locked="0"/>
    </xf>
    <xf numFmtId="168" fontId="27" fillId="3" borderId="34" xfId="0" applyNumberFormat="1" applyFont="1" applyFill="1" applyBorder="1" applyAlignment="1" applyProtection="1">
      <alignment horizontal="center" vertical="center"/>
      <protection locked="0"/>
    </xf>
    <xf numFmtId="168" fontId="27" fillId="4" borderId="34" xfId="0" applyNumberFormat="1" applyFont="1" applyFill="1" applyBorder="1" applyAlignment="1" applyProtection="1">
      <alignment horizontal="center" vertical="center"/>
      <protection locked="0"/>
    </xf>
    <xf numFmtId="0" fontId="18" fillId="15" borderId="38" xfId="0" applyFont="1" applyFill="1" applyBorder="1" applyAlignment="1" applyProtection="1">
      <alignment horizontal="right" vertical="center"/>
      <protection hidden="1"/>
    </xf>
    <xf numFmtId="1" fontId="27" fillId="4" borderId="38" xfId="0" applyNumberFormat="1" applyFont="1" applyFill="1" applyBorder="1" applyAlignment="1" applyProtection="1">
      <alignment horizontal="center" vertical="center"/>
      <protection locked="0"/>
    </xf>
    <xf numFmtId="0" fontId="18" fillId="15" borderId="34" xfId="0" applyFont="1" applyFill="1" applyBorder="1" applyAlignment="1" applyProtection="1">
      <alignment horizontal="right" vertical="center"/>
      <protection hidden="1"/>
    </xf>
    <xf numFmtId="0" fontId="40" fillId="6" borderId="34" xfId="0" applyFont="1" applyFill="1" applyBorder="1" applyAlignment="1" applyProtection="1">
      <alignment horizontal="right" vertical="center"/>
      <protection hidden="1"/>
    </xf>
    <xf numFmtId="0" fontId="18" fillId="26" borderId="34" xfId="0" applyFont="1" applyFill="1" applyBorder="1" applyAlignment="1" applyProtection="1">
      <alignment horizontal="right" vertical="center"/>
      <protection hidden="1"/>
    </xf>
    <xf numFmtId="0" fontId="18" fillId="6" borderId="27" xfId="0" applyFont="1" applyFill="1" applyBorder="1" applyAlignment="1" applyProtection="1">
      <alignment horizontal="right" vertical="center"/>
      <protection hidden="1"/>
    </xf>
    <xf numFmtId="168" fontId="27" fillId="3" borderId="27" xfId="0" applyNumberFormat="1" applyFont="1" applyFill="1" applyBorder="1" applyAlignment="1" applyProtection="1">
      <alignment horizontal="center" vertical="center"/>
      <protection locked="0"/>
    </xf>
    <xf numFmtId="0" fontId="28" fillId="11" borderId="32" xfId="0" applyFont="1" applyFill="1" applyBorder="1" applyAlignment="1" applyProtection="1">
      <alignment horizontal="center" vertical="center"/>
      <protection locked="0"/>
    </xf>
    <xf numFmtId="0" fontId="18" fillId="19" borderId="38" xfId="0" applyFont="1" applyFill="1" applyBorder="1" applyAlignment="1" applyProtection="1">
      <alignment horizontal="right" vertical="center"/>
      <protection hidden="1"/>
    </xf>
    <xf numFmtId="0" fontId="18" fillId="19" borderId="34" xfId="0" applyFont="1" applyFill="1" applyBorder="1" applyAlignment="1" applyProtection="1">
      <alignment horizontal="right" vertical="center"/>
      <protection hidden="1"/>
    </xf>
    <xf numFmtId="0" fontId="18" fillId="19" borderId="27" xfId="0" applyFont="1" applyFill="1" applyBorder="1" applyAlignment="1" applyProtection="1">
      <alignment horizontal="right" vertical="center"/>
      <protection hidden="1"/>
    </xf>
    <xf numFmtId="0" fontId="18" fillId="21" borderId="42" xfId="0" applyFont="1" applyFill="1" applyBorder="1" applyAlignment="1" applyProtection="1">
      <alignment horizontal="right" vertical="center"/>
      <protection hidden="1"/>
    </xf>
    <xf numFmtId="0" fontId="0" fillId="7" borderId="83" xfId="0" applyFill="1" applyBorder="1" applyAlignment="1">
      <alignment horizontal="left" indent="1"/>
    </xf>
    <xf numFmtId="0" fontId="0" fillId="7" borderId="95" xfId="0" applyFill="1" applyBorder="1" applyAlignment="1">
      <alignment horizontal="left" indent="1"/>
    </xf>
    <xf numFmtId="0" fontId="30" fillId="24" borderId="0" xfId="0" applyFont="1" applyFill="1" applyAlignment="1" applyProtection="1">
      <alignment horizontal="center" vertical="center"/>
      <protection hidden="1"/>
    </xf>
    <xf numFmtId="1" fontId="27" fillId="4" borderId="17" xfId="0" applyNumberFormat="1" applyFont="1" applyFill="1" applyBorder="1" applyAlignment="1" applyProtection="1">
      <alignment horizontal="center" vertical="center"/>
      <protection locked="0"/>
    </xf>
    <xf numFmtId="1" fontId="27" fillId="3" borderId="11" xfId="0" applyNumberFormat="1" applyFont="1" applyFill="1" applyBorder="1" applyAlignment="1" applyProtection="1">
      <alignment horizontal="center" vertical="center"/>
      <protection locked="0"/>
    </xf>
    <xf numFmtId="1" fontId="27" fillId="4" borderId="11" xfId="0" applyNumberFormat="1" applyFont="1" applyFill="1" applyBorder="1" applyAlignment="1" applyProtection="1">
      <alignment horizontal="center" vertical="center"/>
      <protection locked="0"/>
    </xf>
    <xf numFmtId="1" fontId="27" fillId="3" borderId="17" xfId="0" applyNumberFormat="1" applyFont="1" applyFill="1" applyBorder="1" applyAlignment="1" applyProtection="1">
      <alignment horizontal="center" vertical="center"/>
      <protection locked="0"/>
    </xf>
    <xf numFmtId="1" fontId="27" fillId="3" borderId="13" xfId="0" applyNumberFormat="1" applyFont="1" applyFill="1" applyBorder="1" applyAlignment="1" applyProtection="1">
      <alignment horizontal="center" vertical="center"/>
      <protection locked="0"/>
    </xf>
    <xf numFmtId="1" fontId="27" fillId="35" borderId="17" xfId="0" applyNumberFormat="1" applyFont="1" applyFill="1" applyBorder="1" applyAlignment="1" applyProtection="1">
      <alignment horizontal="center" vertical="center"/>
      <protection locked="0"/>
    </xf>
    <xf numFmtId="0" fontId="18" fillId="21" borderId="13" xfId="0" applyFont="1" applyFill="1" applyBorder="1" applyAlignment="1" applyProtection="1">
      <alignment horizontal="right" vertical="center" indent="1"/>
      <protection hidden="1"/>
    </xf>
    <xf numFmtId="0" fontId="18" fillId="15" borderId="54" xfId="0" applyFont="1" applyFill="1" applyBorder="1" applyAlignment="1" applyProtection="1">
      <alignment horizontal="right" vertical="center" indent="1"/>
      <protection hidden="1"/>
    </xf>
    <xf numFmtId="0" fontId="18" fillId="15" borderId="53" xfId="0" applyFont="1" applyFill="1" applyBorder="1" applyAlignment="1" applyProtection="1">
      <alignment horizontal="right" vertical="center" indent="1"/>
      <protection hidden="1"/>
    </xf>
    <xf numFmtId="0" fontId="18" fillId="6" borderId="13" xfId="0" applyFont="1" applyFill="1" applyBorder="1" applyAlignment="1" applyProtection="1">
      <alignment horizontal="right" vertical="center" indent="1"/>
      <protection hidden="1"/>
    </xf>
    <xf numFmtId="0" fontId="0" fillId="7" borderId="67" xfId="0" applyFill="1" applyBorder="1" applyAlignment="1">
      <alignment horizontal="center" vertical="center"/>
    </xf>
    <xf numFmtId="0" fontId="0" fillId="7" borderId="118" xfId="0" applyFill="1" applyBorder="1" applyAlignment="1">
      <alignment horizontal="center" vertical="center"/>
    </xf>
    <xf numFmtId="0" fontId="22" fillId="19" borderId="11" xfId="0" applyFont="1" applyFill="1" applyBorder="1" applyAlignment="1" applyProtection="1">
      <alignment horizontal="right" vertical="center" indent="1"/>
      <protection hidden="1"/>
    </xf>
    <xf numFmtId="0" fontId="22" fillId="0" borderId="17" xfId="0" applyFont="1" applyBorder="1" applyAlignment="1" applyProtection="1">
      <alignment horizontal="right" vertical="center" indent="1"/>
      <protection hidden="1"/>
    </xf>
    <xf numFmtId="0" fontId="18" fillId="0" borderId="17" xfId="0" applyFont="1" applyBorder="1" applyAlignment="1" applyProtection="1">
      <alignment horizontal="right" vertical="center" indent="1"/>
      <protection hidden="1"/>
    </xf>
    <xf numFmtId="0" fontId="18" fillId="19" borderId="32" xfId="0" applyFont="1" applyFill="1" applyBorder="1" applyAlignment="1" applyProtection="1">
      <alignment horizontal="right" vertical="center"/>
      <protection hidden="1"/>
    </xf>
    <xf numFmtId="0" fontId="0" fillId="7" borderId="126" xfId="0" applyFill="1" applyBorder="1" applyAlignment="1">
      <alignment horizontal="center" vertical="center"/>
    </xf>
    <xf numFmtId="0" fontId="18" fillId="0" borderId="70" xfId="0" applyFont="1" applyBorder="1"/>
    <xf numFmtId="0" fontId="18" fillId="0" borderId="77" xfId="0" applyFont="1" applyBorder="1"/>
    <xf numFmtId="0" fontId="18" fillId="6" borderId="17" xfId="0" applyFont="1" applyFill="1" applyBorder="1" applyAlignment="1" applyProtection="1">
      <alignment horizontal="right" vertical="center" indent="1"/>
      <protection hidden="1"/>
    </xf>
    <xf numFmtId="0" fontId="22" fillId="15" borderId="17" xfId="0" applyFont="1" applyFill="1" applyBorder="1" applyAlignment="1" applyProtection="1">
      <alignment horizontal="right" vertical="center" indent="1"/>
      <protection hidden="1"/>
    </xf>
    <xf numFmtId="0" fontId="0" fillId="7" borderId="7" xfId="0" applyFill="1" applyBorder="1" applyAlignment="1">
      <alignment horizontal="left" indent="1"/>
    </xf>
    <xf numFmtId="0" fontId="0" fillId="7" borderId="27" xfId="0" applyFill="1" applyBorder="1" applyAlignment="1">
      <alignment horizontal="center" vertical="center"/>
    </xf>
    <xf numFmtId="0" fontId="0" fillId="7" borderId="140" xfId="0" applyFill="1" applyBorder="1" applyAlignment="1">
      <alignment horizontal="left" indent="1"/>
    </xf>
    <xf numFmtId="0" fontId="0" fillId="7" borderId="141" xfId="0" applyFill="1" applyBorder="1" applyAlignment="1">
      <alignment horizontal="center" vertical="center"/>
    </xf>
    <xf numFmtId="0" fontId="0" fillId="7" borderId="116" xfId="0" applyFill="1" applyBorder="1" applyAlignment="1">
      <alignment horizontal="left" indent="1"/>
    </xf>
    <xf numFmtId="0" fontId="18" fillId="36" borderId="0" xfId="0" applyFont="1" applyFill="1"/>
    <xf numFmtId="0" fontId="18" fillId="21" borderId="17" xfId="0" applyFont="1" applyFill="1" applyBorder="1" applyAlignment="1" applyProtection="1">
      <alignment horizontal="right" vertical="center" indent="1"/>
      <protection hidden="1"/>
    </xf>
    <xf numFmtId="0" fontId="18" fillId="0" borderId="49" xfId="0" applyFont="1" applyBorder="1" applyAlignment="1" applyProtection="1">
      <alignment horizontal="right" vertical="center" indent="1"/>
      <protection hidden="1"/>
    </xf>
    <xf numFmtId="0" fontId="16" fillId="0" borderId="0" xfId="0" applyFont="1"/>
    <xf numFmtId="0" fontId="15" fillId="0" borderId="0" xfId="0" applyFont="1" applyAlignment="1">
      <alignment horizontal="center"/>
    </xf>
    <xf numFmtId="173" fontId="12" fillId="0" borderId="0" xfId="0" applyNumberFormat="1" applyFont="1" applyAlignment="1" applyProtection="1">
      <alignment horizontal="center" vertical="center" wrapText="1"/>
      <protection hidden="1"/>
    </xf>
    <xf numFmtId="0" fontId="66" fillId="0" borderId="0" xfId="0" applyFont="1"/>
    <xf numFmtId="0" fontId="66" fillId="0" borderId="0" xfId="0" applyFont="1" applyAlignment="1">
      <alignment horizontal="center"/>
    </xf>
    <xf numFmtId="169" fontId="67" fillId="0" borderId="0" xfId="2" applyNumberFormat="1" applyFont="1" applyAlignment="1">
      <alignment horizontal="center" vertical="center" wrapText="1"/>
    </xf>
    <xf numFmtId="0" fontId="22" fillId="17" borderId="34" xfId="0" applyFont="1" applyFill="1" applyBorder="1" applyAlignment="1" applyProtection="1">
      <alignment vertical="center" wrapText="1"/>
      <protection hidden="1"/>
    </xf>
    <xf numFmtId="0" fontId="68" fillId="11" borderId="0" xfId="0" applyFont="1" applyFill="1" applyAlignment="1" applyProtection="1">
      <alignment horizontal="right" vertical="center" wrapText="1" readingOrder="1"/>
      <protection hidden="1"/>
    </xf>
    <xf numFmtId="0" fontId="21" fillId="11" borderId="0" xfId="0" applyFont="1" applyFill="1" applyAlignment="1" applyProtection="1">
      <alignment horizontal="right" vertical="center" wrapText="1" readingOrder="1"/>
      <protection hidden="1"/>
    </xf>
    <xf numFmtId="0" fontId="17" fillId="13" borderId="0" xfId="0" applyFont="1" applyFill="1" applyAlignment="1" applyProtection="1">
      <alignment vertical="center"/>
      <protection hidden="1"/>
    </xf>
    <xf numFmtId="0" fontId="8" fillId="11" borderId="0" xfId="2" applyFont="1" applyFill="1" applyAlignment="1" applyProtection="1">
      <alignment horizontal="left" vertical="center" wrapText="1"/>
      <protection hidden="1"/>
    </xf>
    <xf numFmtId="0" fontId="41" fillId="10" borderId="0" xfId="2" applyFont="1" applyFill="1" applyAlignment="1" applyProtection="1">
      <alignment horizontal="left" wrapText="1"/>
      <protection hidden="1"/>
    </xf>
    <xf numFmtId="0" fontId="7" fillId="5" borderId="55" xfId="2" applyFill="1" applyBorder="1" applyAlignment="1" applyProtection="1">
      <alignment horizontal="center" vertical="center" wrapText="1"/>
      <protection hidden="1"/>
    </xf>
    <xf numFmtId="0" fontId="7" fillId="5" borderId="12" xfId="2" applyFill="1" applyBorder="1" applyAlignment="1" applyProtection="1">
      <alignment horizontal="center" vertical="center" wrapText="1"/>
      <protection hidden="1"/>
    </xf>
    <xf numFmtId="0" fontId="0" fillId="7" borderId="0" xfId="0" applyFill="1"/>
    <xf numFmtId="0" fontId="17" fillId="13" borderId="0" xfId="0" applyFont="1" applyFill="1" applyAlignment="1" applyProtection="1">
      <alignment horizontal="center" vertical="center"/>
      <protection hidden="1"/>
    </xf>
    <xf numFmtId="0" fontId="17" fillId="13" borderId="1" xfId="0" applyFont="1" applyFill="1" applyBorder="1" applyAlignment="1" applyProtection="1">
      <alignment vertical="center"/>
      <protection hidden="1"/>
    </xf>
    <xf numFmtId="0" fontId="17" fillId="13" borderId="2" xfId="0" applyFont="1" applyFill="1" applyBorder="1" applyAlignment="1" applyProtection="1">
      <alignment vertical="center"/>
      <protection hidden="1"/>
    </xf>
    <xf numFmtId="0" fontId="17" fillId="13" borderId="9" xfId="0" applyFont="1" applyFill="1" applyBorder="1" applyAlignment="1" applyProtection="1">
      <alignment vertical="center"/>
      <protection hidden="1"/>
    </xf>
    <xf numFmtId="0" fontId="37" fillId="5" borderId="12" xfId="2" applyFont="1" applyFill="1" applyBorder="1" applyAlignment="1" applyProtection="1">
      <alignment horizontal="center" vertical="center" wrapText="1"/>
      <protection hidden="1"/>
    </xf>
    <xf numFmtId="0" fontId="37" fillId="5" borderId="6" xfId="2" applyFont="1" applyFill="1" applyBorder="1" applyAlignment="1" applyProtection="1">
      <alignment horizontal="center" vertical="center" wrapText="1"/>
      <protection hidden="1"/>
    </xf>
    <xf numFmtId="0" fontId="33" fillId="36" borderId="0" xfId="6" applyFill="1"/>
    <xf numFmtId="0" fontId="0" fillId="7" borderId="0" xfId="0" applyFill="1" applyAlignment="1">
      <alignment vertical="center"/>
    </xf>
    <xf numFmtId="0" fontId="18" fillId="19" borderId="52" xfId="0" applyFont="1" applyFill="1" applyBorder="1" applyAlignment="1" applyProtection="1">
      <alignment horizontal="right" vertical="center" indent="1"/>
      <protection hidden="1"/>
    </xf>
    <xf numFmtId="0" fontId="18" fillId="15" borderId="129" xfId="0" applyFont="1" applyFill="1" applyBorder="1" applyAlignment="1" applyProtection="1">
      <alignment horizontal="right" vertical="center"/>
      <protection hidden="1"/>
    </xf>
    <xf numFmtId="1" fontId="27" fillId="4" borderId="27" xfId="0" applyNumberFormat="1" applyFont="1" applyFill="1" applyBorder="1" applyAlignment="1" applyProtection="1">
      <alignment horizontal="center" vertical="center"/>
      <protection locked="0"/>
    </xf>
    <xf numFmtId="0" fontId="31" fillId="11" borderId="0" xfId="0" applyFont="1" applyFill="1" applyAlignment="1">
      <alignment horizontal="center" vertical="center" wrapText="1" readingOrder="1"/>
    </xf>
    <xf numFmtId="0" fontId="18" fillId="15" borderId="27" xfId="0" applyFont="1" applyFill="1" applyBorder="1" applyAlignment="1" applyProtection="1">
      <alignment horizontal="right" vertical="center"/>
      <protection hidden="1"/>
    </xf>
    <xf numFmtId="0" fontId="53" fillId="11" borderId="0" xfId="0" applyFont="1" applyFill="1" applyAlignment="1" applyProtection="1">
      <alignment horizontal="left" vertical="center" wrapText="1"/>
      <protection hidden="1"/>
    </xf>
    <xf numFmtId="0" fontId="53" fillId="11" borderId="172" xfId="0" applyFont="1" applyFill="1" applyBorder="1" applyAlignment="1" applyProtection="1">
      <alignment horizontal="left" vertical="center"/>
      <protection hidden="1"/>
    </xf>
    <xf numFmtId="0" fontId="22" fillId="0" borderId="53" xfId="0" applyFont="1" applyBorder="1" applyAlignment="1" applyProtection="1">
      <alignment horizontal="right" vertical="center" indent="1"/>
      <protection hidden="1"/>
    </xf>
    <xf numFmtId="0" fontId="18" fillId="15" borderId="11" xfId="0" applyFont="1" applyFill="1" applyBorder="1" applyAlignment="1" applyProtection="1">
      <alignment horizontal="right" vertical="center" indent="1"/>
      <protection hidden="1"/>
    </xf>
    <xf numFmtId="0" fontId="22" fillId="0" borderId="168" xfId="0" applyFont="1" applyBorder="1" applyAlignment="1" applyProtection="1">
      <alignment horizontal="right" vertical="center" indent="1"/>
      <protection hidden="1"/>
    </xf>
    <xf numFmtId="0" fontId="18" fillId="15" borderId="17" xfId="0" applyFont="1" applyFill="1" applyBorder="1" applyAlignment="1" applyProtection="1">
      <alignment horizontal="right" vertical="center" indent="1"/>
      <protection hidden="1"/>
    </xf>
    <xf numFmtId="0" fontId="18" fillId="15" borderId="49" xfId="0" applyFont="1" applyFill="1" applyBorder="1" applyAlignment="1" applyProtection="1">
      <alignment horizontal="right" vertical="center" indent="1"/>
      <protection hidden="1"/>
    </xf>
    <xf numFmtId="0" fontId="18" fillId="15" borderId="1" xfId="0" applyFont="1" applyFill="1" applyBorder="1" applyAlignment="1" applyProtection="1">
      <alignment horizontal="right" vertical="center" indent="1"/>
      <protection hidden="1"/>
    </xf>
    <xf numFmtId="0" fontId="18" fillId="15" borderId="8" xfId="0" applyFont="1" applyFill="1" applyBorder="1" applyAlignment="1" applyProtection="1">
      <alignment horizontal="right" vertical="center" indent="1"/>
      <protection hidden="1"/>
    </xf>
    <xf numFmtId="0" fontId="18" fillId="15" borderId="111" xfId="0" applyFont="1" applyFill="1" applyBorder="1" applyAlignment="1" applyProtection="1">
      <alignment horizontal="center" vertical="center"/>
      <protection hidden="1"/>
    </xf>
    <xf numFmtId="0" fontId="22" fillId="0" borderId="7" xfId="0" applyFont="1" applyBorder="1" applyAlignment="1" applyProtection="1">
      <alignment horizontal="right" vertical="center" indent="1"/>
      <protection hidden="1"/>
    </xf>
    <xf numFmtId="0" fontId="22" fillId="0" borderId="0" xfId="0" applyFont="1" applyAlignment="1" applyProtection="1">
      <alignment horizontal="right" vertical="center" indent="1"/>
      <protection hidden="1"/>
    </xf>
    <xf numFmtId="1" fontId="27" fillId="4" borderId="49" xfId="0" applyNumberFormat="1" applyFont="1" applyFill="1" applyBorder="1" applyAlignment="1" applyProtection="1">
      <alignment horizontal="center" vertical="center"/>
      <protection locked="0"/>
    </xf>
    <xf numFmtId="0" fontId="22" fillId="0" borderId="11" xfId="0" applyFont="1" applyBorder="1" applyAlignment="1" applyProtection="1">
      <alignment horizontal="right" vertical="center" wrapText="1" indent="1"/>
      <protection hidden="1"/>
    </xf>
    <xf numFmtId="0" fontId="12" fillId="9" borderId="55" xfId="2" applyFont="1" applyFill="1" applyBorder="1" applyAlignment="1">
      <alignment horizontal="center" vertical="center" wrapText="1"/>
    </xf>
    <xf numFmtId="169" fontId="12" fillId="9" borderId="1" xfId="2" applyNumberFormat="1" applyFont="1" applyFill="1" applyBorder="1" applyAlignment="1">
      <alignment horizontal="center" vertical="center" wrapText="1"/>
    </xf>
    <xf numFmtId="174" fontId="14" fillId="7" borderId="101" xfId="0" applyNumberFormat="1" applyFont="1" applyFill="1" applyBorder="1" applyAlignment="1">
      <alignment horizontal="center" vertical="center"/>
    </xf>
    <xf numFmtId="174" fontId="14" fillId="7" borderId="89" xfId="0" applyNumberFormat="1" applyFont="1" applyFill="1" applyBorder="1" applyAlignment="1">
      <alignment horizontal="center" vertical="center"/>
    </xf>
    <xf numFmtId="174" fontId="14" fillId="7" borderId="15" xfId="0" applyNumberFormat="1" applyFont="1" applyFill="1" applyBorder="1" applyAlignment="1">
      <alignment horizontal="center" vertical="center"/>
    </xf>
    <xf numFmtId="174" fontId="14" fillId="7" borderId="16" xfId="0" applyNumberFormat="1" applyFont="1" applyFill="1" applyBorder="1" applyAlignment="1">
      <alignment horizontal="center" vertical="center"/>
    </xf>
    <xf numFmtId="174" fontId="14" fillId="7" borderId="97" xfId="0" applyNumberFormat="1" applyFont="1" applyFill="1" applyBorder="1" applyAlignment="1">
      <alignment horizontal="center" vertical="center"/>
    </xf>
    <xf numFmtId="174" fontId="14" fillId="7" borderId="81" xfId="0" applyNumberFormat="1" applyFont="1" applyFill="1" applyBorder="1" applyAlignment="1">
      <alignment horizontal="center" vertical="center"/>
    </xf>
    <xf numFmtId="174" fontId="14" fillId="7" borderId="19" xfId="0" applyNumberFormat="1" applyFont="1" applyFill="1" applyBorder="1" applyAlignment="1">
      <alignment horizontal="center" vertical="center"/>
    </xf>
    <xf numFmtId="174" fontId="14" fillId="7" borderId="20" xfId="0" applyNumberFormat="1" applyFont="1" applyFill="1" applyBorder="1" applyAlignment="1">
      <alignment horizontal="center" vertical="center"/>
    </xf>
    <xf numFmtId="174" fontId="14" fillId="7" borderId="135" xfId="0" applyNumberFormat="1" applyFont="1" applyFill="1" applyBorder="1" applyAlignment="1">
      <alignment horizontal="center" vertical="center"/>
    </xf>
    <xf numFmtId="174" fontId="14" fillId="7" borderId="127" xfId="0" applyNumberFormat="1" applyFont="1" applyFill="1" applyBorder="1" applyAlignment="1">
      <alignment horizontal="center" vertical="center"/>
    </xf>
    <xf numFmtId="174" fontId="14" fillId="7" borderId="136" xfId="0" applyNumberFormat="1" applyFont="1" applyFill="1" applyBorder="1" applyAlignment="1">
      <alignment horizontal="center" vertical="center"/>
    </xf>
    <xf numFmtId="174" fontId="14" fillId="7" borderId="137" xfId="0" applyNumberFormat="1" applyFont="1" applyFill="1" applyBorder="1" applyAlignment="1">
      <alignment horizontal="center" vertical="center"/>
    </xf>
    <xf numFmtId="174" fontId="14" fillId="7" borderId="96" xfId="0" applyNumberFormat="1" applyFont="1" applyFill="1" applyBorder="1" applyAlignment="1">
      <alignment horizontal="center" vertical="center"/>
    </xf>
    <xf numFmtId="174" fontId="14" fillId="7" borderId="139" xfId="0" applyNumberFormat="1" applyFont="1" applyFill="1" applyBorder="1" applyAlignment="1">
      <alignment horizontal="center" vertical="center"/>
    </xf>
    <xf numFmtId="174" fontId="14" fillId="7" borderId="143" xfId="0" applyNumberFormat="1" applyFont="1" applyFill="1" applyBorder="1" applyAlignment="1">
      <alignment horizontal="center" vertical="center"/>
    </xf>
    <xf numFmtId="174" fontId="14" fillId="7" borderId="144" xfId="0" applyNumberFormat="1" applyFont="1" applyFill="1" applyBorder="1" applyAlignment="1">
      <alignment horizontal="center" vertical="center"/>
    </xf>
    <xf numFmtId="174" fontId="14" fillId="7" borderId="95" xfId="0" applyNumberFormat="1" applyFont="1" applyFill="1" applyBorder="1" applyAlignment="1">
      <alignment horizontal="center" vertical="center"/>
    </xf>
    <xf numFmtId="174" fontId="14" fillId="7" borderId="90" xfId="0" applyNumberFormat="1" applyFont="1" applyFill="1" applyBorder="1" applyAlignment="1">
      <alignment horizontal="center" vertical="center"/>
    </xf>
    <xf numFmtId="174" fontId="14" fillId="7" borderId="25" xfId="0" applyNumberFormat="1" applyFont="1" applyFill="1" applyBorder="1" applyAlignment="1">
      <alignment horizontal="center" vertical="center"/>
    </xf>
    <xf numFmtId="174" fontId="14" fillId="7" borderId="26" xfId="0" applyNumberFormat="1" applyFont="1" applyFill="1" applyBorder="1" applyAlignment="1">
      <alignment horizontal="center" vertical="center"/>
    </xf>
    <xf numFmtId="174" fontId="14" fillId="7" borderId="98" xfId="0" applyNumberFormat="1" applyFont="1" applyFill="1" applyBorder="1" applyAlignment="1">
      <alignment horizontal="center" vertical="center"/>
    </xf>
    <xf numFmtId="174" fontId="14" fillId="7" borderId="145" xfId="0" applyNumberFormat="1" applyFont="1" applyFill="1" applyBorder="1" applyAlignment="1">
      <alignment horizontal="center" vertical="center"/>
    </xf>
    <xf numFmtId="174" fontId="14" fillId="7" borderId="22" xfId="0" applyNumberFormat="1" applyFont="1" applyFill="1" applyBorder="1" applyAlignment="1">
      <alignment horizontal="center" vertical="center"/>
    </xf>
    <xf numFmtId="174" fontId="14" fillId="7" borderId="23" xfId="0" applyNumberFormat="1" applyFont="1" applyFill="1" applyBorder="1" applyAlignment="1">
      <alignment horizontal="center" vertical="center"/>
    </xf>
    <xf numFmtId="174" fontId="14" fillId="7" borderId="83" xfId="0" applyNumberFormat="1" applyFont="1" applyFill="1" applyBorder="1" applyAlignment="1">
      <alignment horizontal="center" vertical="center"/>
    </xf>
    <xf numFmtId="174" fontId="14" fillId="7" borderId="112" xfId="0" applyNumberFormat="1" applyFont="1" applyFill="1" applyBorder="1" applyAlignment="1">
      <alignment horizontal="center" vertical="center"/>
    </xf>
    <xf numFmtId="174" fontId="14" fillId="7" borderId="99" xfId="0" applyNumberFormat="1" applyFont="1" applyFill="1" applyBorder="1" applyAlignment="1">
      <alignment horizontal="center" vertical="center"/>
    </xf>
    <xf numFmtId="174" fontId="14" fillId="7" borderId="138" xfId="0" applyNumberFormat="1" applyFont="1" applyFill="1" applyBorder="1" applyAlignment="1">
      <alignment horizontal="center" vertical="center"/>
    </xf>
    <xf numFmtId="174" fontId="14" fillId="7" borderId="102" xfId="0" applyNumberFormat="1" applyFont="1" applyFill="1" applyBorder="1" applyAlignment="1">
      <alignment horizontal="center" vertical="center"/>
    </xf>
    <xf numFmtId="174" fontId="14" fillId="7" borderId="122" xfId="0" applyNumberFormat="1" applyFont="1" applyFill="1" applyBorder="1" applyAlignment="1">
      <alignment horizontal="center" vertical="center"/>
    </xf>
    <xf numFmtId="174" fontId="14" fillId="7" borderId="146" xfId="0" applyNumberFormat="1" applyFont="1" applyFill="1" applyBorder="1" applyAlignment="1">
      <alignment horizontal="center" vertical="center"/>
    </xf>
    <xf numFmtId="174" fontId="14" fillId="7" borderId="149" xfId="0" applyNumberFormat="1" applyFont="1" applyFill="1" applyBorder="1" applyAlignment="1">
      <alignment horizontal="center" vertical="center"/>
    </xf>
    <xf numFmtId="174" fontId="14" fillId="7" borderId="152" xfId="0" applyNumberFormat="1" applyFont="1" applyFill="1" applyBorder="1" applyAlignment="1">
      <alignment horizontal="center" vertical="center"/>
    </xf>
    <xf numFmtId="174" fontId="14" fillId="7" borderId="125" xfId="0" applyNumberFormat="1" applyFont="1" applyFill="1" applyBorder="1" applyAlignment="1">
      <alignment horizontal="center" vertical="center"/>
    </xf>
    <xf numFmtId="174" fontId="14" fillId="7" borderId="113" xfId="0" applyNumberFormat="1" applyFont="1" applyFill="1" applyBorder="1" applyAlignment="1">
      <alignment horizontal="center" vertical="center"/>
    </xf>
    <xf numFmtId="174" fontId="14" fillId="7" borderId="103" xfId="0" applyNumberFormat="1" applyFont="1" applyFill="1" applyBorder="1" applyAlignment="1">
      <alignment horizontal="center" vertical="center"/>
    </xf>
    <xf numFmtId="174" fontId="14" fillId="7" borderId="91" xfId="0" applyNumberFormat="1" applyFont="1" applyFill="1" applyBorder="1" applyAlignment="1">
      <alignment horizontal="center" vertical="center"/>
    </xf>
    <xf numFmtId="174" fontId="14" fillId="7" borderId="10" xfId="0" applyNumberFormat="1" applyFont="1" applyFill="1" applyBorder="1" applyAlignment="1">
      <alignment horizontal="center" vertical="center"/>
    </xf>
    <xf numFmtId="174" fontId="5" fillId="7" borderId="101" xfId="0" applyNumberFormat="1" applyFont="1" applyFill="1" applyBorder="1" applyAlignment="1">
      <alignment horizontal="center" vertical="center"/>
    </xf>
    <xf numFmtId="174" fontId="5" fillId="7" borderId="89" xfId="0" applyNumberFormat="1" applyFont="1" applyFill="1" applyBorder="1" applyAlignment="1">
      <alignment horizontal="center" vertical="center"/>
    </xf>
    <xf numFmtId="174" fontId="5" fillId="7" borderId="15" xfId="0" applyNumberFormat="1" applyFont="1" applyFill="1" applyBorder="1" applyAlignment="1">
      <alignment horizontal="center" vertical="center"/>
    </xf>
    <xf numFmtId="174" fontId="5" fillId="7" borderId="25" xfId="0" applyNumberFormat="1" applyFont="1" applyFill="1" applyBorder="1" applyAlignment="1">
      <alignment horizontal="center" vertical="center"/>
    </xf>
    <xf numFmtId="174" fontId="5" fillId="7" borderId="26" xfId="0" applyNumberFormat="1" applyFont="1" applyFill="1" applyBorder="1" applyAlignment="1">
      <alignment horizontal="center" vertical="center"/>
    </xf>
    <xf numFmtId="174" fontId="14" fillId="7" borderId="123" xfId="0" applyNumberFormat="1" applyFont="1" applyFill="1" applyBorder="1" applyAlignment="1">
      <alignment horizontal="center" vertical="center"/>
    </xf>
    <xf numFmtId="174" fontId="5" fillId="7" borderId="123" xfId="0" applyNumberFormat="1" applyFont="1" applyFill="1" applyBorder="1" applyAlignment="1">
      <alignment horizontal="center" vertical="center"/>
    </xf>
    <xf numFmtId="174" fontId="5" fillId="7" borderId="124" xfId="0" applyNumberFormat="1" applyFont="1" applyFill="1" applyBorder="1" applyAlignment="1">
      <alignment horizontal="center" vertical="center"/>
    </xf>
    <xf numFmtId="0" fontId="16" fillId="7" borderId="185" xfId="0" applyFont="1" applyFill="1" applyBorder="1" applyAlignment="1">
      <alignment horizontal="left" indent="1"/>
    </xf>
    <xf numFmtId="174" fontId="14" fillId="7" borderId="100" xfId="0" applyNumberFormat="1" applyFont="1" applyFill="1" applyBorder="1" applyAlignment="1">
      <alignment horizontal="center" vertical="center"/>
    </xf>
    <xf numFmtId="174" fontId="14" fillId="7" borderId="82" xfId="0" applyNumberFormat="1" applyFont="1" applyFill="1" applyBorder="1" applyAlignment="1">
      <alignment horizontal="center" vertical="center"/>
    </xf>
    <xf numFmtId="174" fontId="5" fillId="7" borderId="56" xfId="0" applyNumberFormat="1" applyFont="1" applyFill="1" applyBorder="1" applyAlignment="1">
      <alignment horizontal="center" vertical="center"/>
    </xf>
    <xf numFmtId="174" fontId="5" fillId="7" borderId="57" xfId="0" applyNumberFormat="1" applyFont="1" applyFill="1" applyBorder="1" applyAlignment="1">
      <alignment horizontal="center" vertical="center"/>
    </xf>
    <xf numFmtId="0" fontId="7" fillId="7" borderId="85" xfId="2" applyFill="1" applyBorder="1" applyAlignment="1">
      <alignment horizontal="left" indent="1"/>
    </xf>
    <xf numFmtId="174" fontId="5" fillId="7" borderId="97" xfId="0" applyNumberFormat="1" applyFont="1" applyFill="1" applyBorder="1" applyAlignment="1">
      <alignment horizontal="center" vertical="center"/>
    </xf>
    <xf numFmtId="174" fontId="5" fillId="7" borderId="81" xfId="0" applyNumberFormat="1" applyFont="1" applyFill="1" applyBorder="1" applyAlignment="1">
      <alignment horizontal="center" vertical="center"/>
    </xf>
    <xf numFmtId="174" fontId="5" fillId="7" borderId="19" xfId="0" applyNumberFormat="1" applyFont="1" applyFill="1" applyBorder="1" applyAlignment="1">
      <alignment horizontal="center" vertical="center"/>
    </xf>
    <xf numFmtId="174" fontId="5" fillId="7" borderId="20" xfId="0" applyNumberFormat="1" applyFont="1" applyFill="1" applyBorder="1" applyAlignment="1">
      <alignment horizontal="center" vertical="center"/>
    </xf>
    <xf numFmtId="0" fontId="16" fillId="7" borderId="150" xfId="0" applyFont="1" applyFill="1" applyBorder="1" applyAlignment="1">
      <alignment horizontal="left" indent="1"/>
    </xf>
    <xf numFmtId="0" fontId="16" fillId="7" borderId="85" xfId="0" applyFont="1" applyFill="1" applyBorder="1" applyAlignment="1">
      <alignment horizontal="left" indent="1"/>
    </xf>
    <xf numFmtId="0" fontId="16" fillId="7" borderId="121" xfId="0" applyFont="1" applyFill="1" applyBorder="1" applyAlignment="1">
      <alignment horizontal="left" indent="1"/>
    </xf>
    <xf numFmtId="0" fontId="16" fillId="7" borderId="86" xfId="0" applyFont="1" applyFill="1" applyBorder="1" applyAlignment="1">
      <alignment horizontal="left" indent="1"/>
    </xf>
    <xf numFmtId="0" fontId="16" fillId="7" borderId="88" xfId="0" applyFont="1" applyFill="1" applyBorder="1" applyAlignment="1">
      <alignment horizontal="left" indent="1"/>
    </xf>
    <xf numFmtId="174" fontId="14" fillId="7" borderId="103" xfId="0" applyNumberFormat="1" applyFont="1" applyFill="1" applyBorder="1" applyAlignment="1">
      <alignment horizontal="center"/>
    </xf>
    <xf numFmtId="174" fontId="14" fillId="7" borderId="91" xfId="0" applyNumberFormat="1" applyFont="1" applyFill="1" applyBorder="1" applyAlignment="1">
      <alignment horizontal="center"/>
    </xf>
    <xf numFmtId="174" fontId="14" fillId="7" borderId="29" xfId="0" applyNumberFormat="1" applyFont="1" applyFill="1" applyBorder="1" applyAlignment="1">
      <alignment horizontal="center"/>
    </xf>
    <xf numFmtId="174" fontId="5" fillId="7" borderId="92" xfId="0" applyNumberFormat="1" applyFont="1" applyFill="1" applyBorder="1" applyAlignment="1">
      <alignment horizontal="center" vertical="center"/>
    </xf>
    <xf numFmtId="174" fontId="5" fillId="7" borderId="99" xfId="0" applyNumberFormat="1" applyFont="1" applyFill="1" applyBorder="1" applyAlignment="1">
      <alignment horizontal="center" vertical="center"/>
    </xf>
    <xf numFmtId="174" fontId="5" fillId="7" borderId="90" xfId="0" applyNumberFormat="1" applyFont="1" applyFill="1" applyBorder="1" applyAlignment="1">
      <alignment horizontal="center" vertical="center"/>
    </xf>
    <xf numFmtId="174" fontId="14" fillId="7" borderId="73" xfId="0" applyNumberFormat="1" applyFont="1" applyFill="1" applyBorder="1" applyAlignment="1">
      <alignment horizontal="center" vertical="center"/>
    </xf>
    <xf numFmtId="0" fontId="0" fillId="7" borderId="0" xfId="0" applyFill="1" applyAlignment="1">
      <alignment horizontal="left" vertical="center" indent="1"/>
    </xf>
    <xf numFmtId="0" fontId="53" fillId="11" borderId="68" xfId="0" applyFont="1" applyFill="1" applyBorder="1" applyAlignment="1" applyProtection="1">
      <alignment vertical="center" wrapText="1"/>
      <protection hidden="1"/>
    </xf>
    <xf numFmtId="0" fontId="53" fillId="11" borderId="157" xfId="0" applyFont="1" applyFill="1" applyBorder="1" applyAlignment="1" applyProtection="1">
      <alignment vertical="center" wrapText="1"/>
      <protection hidden="1"/>
    </xf>
    <xf numFmtId="0" fontId="22" fillId="17" borderId="34" xfId="0" applyFont="1" applyFill="1" applyBorder="1" applyAlignment="1" applyProtection="1">
      <alignment horizontal="center" vertical="center" wrapText="1"/>
      <protection hidden="1"/>
    </xf>
    <xf numFmtId="0" fontId="18" fillId="0" borderId="11" xfId="0" applyFont="1" applyBorder="1" applyAlignment="1" applyProtection="1">
      <alignment horizontal="center" vertical="center" wrapText="1"/>
      <protection hidden="1"/>
    </xf>
    <xf numFmtId="0" fontId="14" fillId="7" borderId="116" xfId="0" applyFont="1" applyFill="1" applyBorder="1" applyAlignment="1">
      <alignment horizontal="left" indent="1"/>
    </xf>
    <xf numFmtId="0" fontId="0" fillId="7" borderId="191" xfId="0" applyFill="1" applyBorder="1" applyAlignment="1">
      <alignment horizontal="center" vertical="center"/>
    </xf>
    <xf numFmtId="174" fontId="16" fillId="7" borderId="97" xfId="0" applyNumberFormat="1" applyFont="1" applyFill="1" applyBorder="1" applyAlignment="1">
      <alignment horizontal="center" vertical="center"/>
    </xf>
    <xf numFmtId="174" fontId="16" fillId="7" borderId="81" xfId="0" applyNumberFormat="1" applyFont="1" applyFill="1" applyBorder="1" applyAlignment="1">
      <alignment horizontal="center" vertical="center"/>
    </xf>
    <xf numFmtId="174" fontId="16" fillId="7" borderId="19" xfId="0" applyNumberFormat="1" applyFont="1" applyFill="1" applyBorder="1" applyAlignment="1">
      <alignment horizontal="center" vertical="center"/>
    </xf>
    <xf numFmtId="174" fontId="14" fillId="7" borderId="56" xfId="0" applyNumberFormat="1" applyFont="1" applyFill="1" applyBorder="1" applyAlignment="1">
      <alignment horizontal="center" vertical="center"/>
    </xf>
    <xf numFmtId="174" fontId="14" fillId="7" borderId="57" xfId="0" applyNumberFormat="1" applyFont="1" applyFill="1" applyBorder="1" applyAlignment="1">
      <alignment horizontal="center" vertical="center"/>
    </xf>
    <xf numFmtId="174" fontId="16" fillId="7" borderId="127" xfId="0" applyNumberFormat="1" applyFont="1" applyFill="1" applyBorder="1" applyAlignment="1">
      <alignment horizontal="center" vertical="center"/>
    </xf>
    <xf numFmtId="174" fontId="16" fillId="7" borderId="128" xfId="0" applyNumberFormat="1" applyFont="1" applyFill="1" applyBorder="1" applyAlignment="1">
      <alignment horizontal="center" vertical="center"/>
    </xf>
    <xf numFmtId="0" fontId="16" fillId="7" borderId="95" xfId="0" applyFont="1" applyFill="1" applyBorder="1" applyAlignment="1">
      <alignment horizontal="left" indent="1"/>
    </xf>
    <xf numFmtId="0" fontId="16" fillId="7" borderId="193" xfId="0" applyFont="1" applyFill="1" applyBorder="1" applyAlignment="1">
      <alignment horizontal="left" indent="1"/>
    </xf>
    <xf numFmtId="0" fontId="16" fillId="7" borderId="194" xfId="0" applyFont="1" applyFill="1" applyBorder="1" applyAlignment="1">
      <alignment horizontal="left" indent="1"/>
    </xf>
    <xf numFmtId="0" fontId="16" fillId="7" borderId="195" xfId="0" applyFont="1" applyFill="1" applyBorder="1" applyAlignment="1">
      <alignment horizontal="left" indent="1"/>
    </xf>
    <xf numFmtId="0" fontId="16" fillId="7" borderId="116" xfId="0" applyFont="1" applyFill="1" applyBorder="1" applyAlignment="1">
      <alignment horizontal="left" indent="1"/>
    </xf>
    <xf numFmtId="174" fontId="5" fillId="7" borderId="98" xfId="0" applyNumberFormat="1" applyFont="1" applyFill="1" applyBorder="1" applyAlignment="1">
      <alignment horizontal="center" vertical="center"/>
    </xf>
    <xf numFmtId="174" fontId="5" fillId="7" borderId="145" xfId="0" applyNumberFormat="1" applyFont="1" applyFill="1" applyBorder="1" applyAlignment="1">
      <alignment horizontal="center" vertical="center"/>
    </xf>
    <xf numFmtId="174" fontId="5" fillId="7" borderId="22" xfId="0" applyNumberFormat="1" applyFont="1" applyFill="1" applyBorder="1" applyAlignment="1">
      <alignment horizontal="center" vertical="center"/>
    </xf>
    <xf numFmtId="0" fontId="58" fillId="0" borderId="0" xfId="9" applyFont="1"/>
    <xf numFmtId="0" fontId="4" fillId="0" borderId="0" xfId="9"/>
    <xf numFmtId="0" fontId="5" fillId="0" borderId="0" xfId="10"/>
    <xf numFmtId="0" fontId="36" fillId="9" borderId="35" xfId="9" applyFont="1" applyFill="1" applyBorder="1" applyAlignment="1">
      <alignment horizontal="center" vertical="center"/>
    </xf>
    <xf numFmtId="0" fontId="36" fillId="9" borderId="38" xfId="9" applyFont="1" applyFill="1" applyBorder="1" applyAlignment="1">
      <alignment horizontal="center" vertical="center"/>
    </xf>
    <xf numFmtId="0" fontId="36" fillId="9" borderId="47" xfId="9" applyFont="1" applyFill="1" applyBorder="1" applyAlignment="1">
      <alignment horizontal="center" vertical="center"/>
    </xf>
    <xf numFmtId="0" fontId="36" fillId="9" borderId="33" xfId="9" applyFont="1" applyFill="1" applyBorder="1" applyAlignment="1">
      <alignment horizontal="center" vertical="center"/>
    </xf>
    <xf numFmtId="0" fontId="36" fillId="9" borderId="33" xfId="9" applyFont="1" applyFill="1" applyBorder="1" applyAlignment="1">
      <alignment horizontal="center" vertical="center" wrapText="1"/>
    </xf>
    <xf numFmtId="0" fontId="4" fillId="0" borderId="60" xfId="9" applyBorder="1" applyAlignment="1">
      <alignment horizontal="center"/>
    </xf>
    <xf numFmtId="0" fontId="14" fillId="0" borderId="58" xfId="9" applyFont="1" applyBorder="1" applyAlignment="1">
      <alignment vertical="center"/>
    </xf>
    <xf numFmtId="0" fontId="14" fillId="0" borderId="61" xfId="9" applyFont="1" applyBorder="1" applyAlignment="1">
      <alignment horizontal="center" vertical="center"/>
    </xf>
    <xf numFmtId="0" fontId="4" fillId="27" borderId="60" xfId="9" applyFill="1" applyBorder="1" applyAlignment="1">
      <alignment horizontal="center"/>
    </xf>
    <xf numFmtId="0" fontId="14" fillId="27" borderId="58" xfId="9" applyFont="1" applyFill="1" applyBorder="1" applyAlignment="1">
      <alignment vertical="center"/>
    </xf>
    <xf numFmtId="0" fontId="14" fillId="27" borderId="61" xfId="9" applyFont="1" applyFill="1" applyBorder="1" applyAlignment="1">
      <alignment horizontal="center" vertical="center"/>
    </xf>
    <xf numFmtId="0" fontId="4" fillId="0" borderId="35" xfId="9" applyBorder="1" applyAlignment="1">
      <alignment horizontal="center"/>
    </xf>
    <xf numFmtId="0" fontId="14" fillId="0" borderId="47" xfId="9" applyFont="1" applyBorder="1" applyAlignment="1">
      <alignment vertical="center"/>
    </xf>
    <xf numFmtId="0" fontId="14" fillId="0" borderId="33" xfId="9" applyFont="1" applyBorder="1" applyAlignment="1">
      <alignment horizontal="center" vertical="center"/>
    </xf>
    <xf numFmtId="0" fontId="4" fillId="0" borderId="76" xfId="9" applyBorder="1" applyAlignment="1">
      <alignment horizontal="center"/>
    </xf>
    <xf numFmtId="0" fontId="14" fillId="0" borderId="62" xfId="9" applyFont="1" applyBorder="1" applyAlignment="1">
      <alignment vertical="center"/>
    </xf>
    <xf numFmtId="0" fontId="14" fillId="0" borderId="63" xfId="9" applyFont="1" applyBorder="1" applyAlignment="1">
      <alignment horizontal="center" vertical="center"/>
    </xf>
    <xf numFmtId="0" fontId="58" fillId="0" borderId="0" xfId="10" applyFont="1"/>
    <xf numFmtId="0" fontId="36" fillId="9" borderId="35" xfId="10" applyFont="1" applyFill="1" applyBorder="1" applyAlignment="1">
      <alignment horizontal="center"/>
    </xf>
    <xf numFmtId="0" fontId="36" fillId="9" borderId="47" xfId="10" applyFont="1" applyFill="1" applyBorder="1"/>
    <xf numFmtId="0" fontId="36" fillId="9" borderId="33" xfId="10" applyFont="1" applyFill="1" applyBorder="1"/>
    <xf numFmtId="0" fontId="5" fillId="0" borderId="60" xfId="10" applyBorder="1" applyAlignment="1">
      <alignment horizontal="center"/>
    </xf>
    <xf numFmtId="0" fontId="5" fillId="0" borderId="58" xfId="10" applyBorder="1" applyAlignment="1">
      <alignment vertical="center"/>
    </xf>
    <xf numFmtId="0" fontId="5" fillId="0" borderId="61" xfId="10" applyBorder="1" applyAlignment="1">
      <alignment vertical="center"/>
    </xf>
    <xf numFmtId="0" fontId="5" fillId="27" borderId="60" xfId="10" applyFill="1" applyBorder="1" applyAlignment="1">
      <alignment horizontal="center"/>
    </xf>
    <xf numFmtId="0" fontId="37" fillId="27" borderId="58" xfId="10" applyFont="1" applyFill="1" applyBorder="1" applyAlignment="1">
      <alignment vertical="center"/>
    </xf>
    <xf numFmtId="0" fontId="37" fillId="27" borderId="61" xfId="10" applyFont="1" applyFill="1" applyBorder="1" applyAlignment="1">
      <alignment vertical="center"/>
    </xf>
    <xf numFmtId="0" fontId="5" fillId="0" borderId="76" xfId="10" applyBorder="1" applyAlignment="1">
      <alignment horizontal="center"/>
    </xf>
    <xf numFmtId="0" fontId="5" fillId="0" borderId="62" xfId="10" applyBorder="1" applyAlignment="1">
      <alignment vertical="center"/>
    </xf>
    <xf numFmtId="0" fontId="5" fillId="0" borderId="63" xfId="10" applyBorder="1" applyAlignment="1">
      <alignment vertical="center"/>
    </xf>
    <xf numFmtId="0" fontId="5" fillId="27" borderId="76" xfId="10" applyFill="1" applyBorder="1" applyAlignment="1">
      <alignment horizontal="center"/>
    </xf>
    <xf numFmtId="0" fontId="37" fillId="27" borderId="62" xfId="10" applyFont="1" applyFill="1" applyBorder="1" applyAlignment="1">
      <alignment vertical="center"/>
    </xf>
    <xf numFmtId="0" fontId="37" fillId="27" borderId="63" xfId="10" applyFont="1" applyFill="1" applyBorder="1" applyAlignment="1">
      <alignment vertical="center"/>
    </xf>
    <xf numFmtId="0" fontId="18" fillId="0" borderId="11" xfId="0" applyFont="1" applyBorder="1" applyAlignment="1" applyProtection="1">
      <alignment horizontal="right" vertical="center" indent="1"/>
      <protection hidden="1"/>
    </xf>
    <xf numFmtId="0" fontId="22" fillId="0" borderId="13" xfId="0" applyFont="1" applyBorder="1" applyAlignment="1" applyProtection="1">
      <alignment horizontal="right" vertical="center" indent="1"/>
      <protection hidden="1"/>
    </xf>
    <xf numFmtId="1" fontId="27" fillId="20" borderId="11" xfId="0" applyNumberFormat="1" applyFont="1" applyFill="1" applyBorder="1" applyAlignment="1" applyProtection="1">
      <alignment horizontal="center" vertical="center"/>
      <protection locked="0"/>
    </xf>
    <xf numFmtId="0" fontId="18" fillId="19" borderId="13" xfId="0" applyFont="1" applyFill="1" applyBorder="1" applyAlignment="1" applyProtection="1">
      <alignment horizontal="right" vertical="center" indent="1"/>
      <protection hidden="1"/>
    </xf>
    <xf numFmtId="0" fontId="18" fillId="19" borderId="180" xfId="0" applyFont="1" applyFill="1" applyBorder="1" applyAlignment="1" applyProtection="1">
      <alignment horizontal="right" vertical="center" indent="1"/>
      <protection hidden="1"/>
    </xf>
    <xf numFmtId="0" fontId="82" fillId="0" borderId="0" xfId="10" applyFont="1"/>
    <xf numFmtId="0" fontId="0" fillId="7" borderId="117" xfId="0" applyFill="1" applyBorder="1" applyAlignment="1">
      <alignment horizontal="center" vertical="center"/>
    </xf>
    <xf numFmtId="0" fontId="0" fillId="7" borderId="120" xfId="0" applyFill="1" applyBorder="1" applyAlignment="1">
      <alignment horizontal="center" vertical="center"/>
    </xf>
    <xf numFmtId="0" fontId="0" fillId="7" borderId="151" xfId="0" applyFill="1" applyBorder="1" applyAlignment="1">
      <alignment horizontal="center" vertical="center"/>
    </xf>
    <xf numFmtId="0" fontId="0" fillId="7" borderId="114" xfId="0" applyFill="1" applyBorder="1" applyAlignment="1">
      <alignment horizontal="center" vertical="center"/>
    </xf>
    <xf numFmtId="0" fontId="16" fillId="7" borderId="185" xfId="0" applyFont="1" applyFill="1" applyBorder="1" applyAlignment="1">
      <alignment horizontal="left" vertical="center" indent="1"/>
    </xf>
    <xf numFmtId="0" fontId="56" fillId="10" borderId="206" xfId="0" applyFont="1" applyFill="1" applyBorder="1" applyAlignment="1">
      <alignment horizontal="center" vertical="center" wrapText="1"/>
    </xf>
    <xf numFmtId="0" fontId="16" fillId="7" borderId="209" xfId="0" applyFont="1" applyFill="1" applyBorder="1" applyAlignment="1">
      <alignment horizontal="left" indent="1"/>
    </xf>
    <xf numFmtId="0" fontId="16" fillId="7" borderId="212" xfId="0" applyFont="1" applyFill="1" applyBorder="1" applyAlignment="1">
      <alignment horizontal="left" indent="1"/>
    </xf>
    <xf numFmtId="0" fontId="16" fillId="7" borderId="114" xfId="0" applyFont="1" applyFill="1" applyBorder="1" applyAlignment="1">
      <alignment horizontal="center"/>
    </xf>
    <xf numFmtId="0" fontId="16" fillId="7" borderId="154" xfId="0" applyFont="1" applyFill="1" applyBorder="1" applyAlignment="1">
      <alignment horizontal="left" indent="1"/>
    </xf>
    <xf numFmtId="0" fontId="16" fillId="7" borderId="213" xfId="0" applyFont="1" applyFill="1" applyBorder="1" applyAlignment="1">
      <alignment horizontal="left" indent="1"/>
    </xf>
    <xf numFmtId="0" fontId="16" fillId="7" borderId="153" xfId="0" applyFont="1" applyFill="1" applyBorder="1" applyAlignment="1">
      <alignment horizontal="left" indent="1"/>
    </xf>
    <xf numFmtId="0" fontId="0" fillId="7" borderId="214" xfId="0" applyFill="1" applyBorder="1" applyAlignment="1">
      <alignment horizontal="left" vertical="center" indent="1"/>
    </xf>
    <xf numFmtId="0" fontId="0" fillId="7" borderId="48" xfId="0" applyFill="1" applyBorder="1" applyAlignment="1">
      <alignment horizontal="center" vertical="center"/>
    </xf>
    <xf numFmtId="0" fontId="0" fillId="7" borderId="59" xfId="0" applyFill="1" applyBorder="1" applyAlignment="1">
      <alignment horizontal="center" vertical="center"/>
    </xf>
    <xf numFmtId="0" fontId="0" fillId="7" borderId="34" xfId="0" applyFill="1" applyBorder="1" applyAlignment="1">
      <alignment horizontal="center" vertical="center"/>
    </xf>
    <xf numFmtId="0" fontId="0" fillId="7" borderId="36" xfId="0" applyFill="1" applyBorder="1" applyAlignment="1">
      <alignment horizontal="center" vertical="center"/>
    </xf>
    <xf numFmtId="174" fontId="5" fillId="7" borderId="23" xfId="0" applyNumberFormat="1" applyFont="1" applyFill="1" applyBorder="1" applyAlignment="1">
      <alignment horizontal="center" vertical="center"/>
    </xf>
    <xf numFmtId="174" fontId="5" fillId="7" borderId="122" xfId="0" applyNumberFormat="1" applyFont="1" applyFill="1" applyBorder="1" applyAlignment="1">
      <alignment horizontal="center" vertical="center"/>
    </xf>
    <xf numFmtId="174" fontId="5" fillId="7" borderId="125" xfId="0" applyNumberFormat="1" applyFont="1" applyFill="1" applyBorder="1" applyAlignment="1">
      <alignment horizontal="center" vertical="center"/>
    </xf>
    <xf numFmtId="174" fontId="5" fillId="7" borderId="96" xfId="0" applyNumberFormat="1" applyFont="1" applyFill="1" applyBorder="1" applyAlignment="1">
      <alignment horizontal="center" vertical="center"/>
    </xf>
    <xf numFmtId="174" fontId="5" fillId="7" borderId="149" xfId="0" applyNumberFormat="1" applyFont="1" applyFill="1" applyBorder="1" applyAlignment="1">
      <alignment horizontal="center" vertical="center"/>
    </xf>
    <xf numFmtId="174" fontId="5" fillId="7" borderId="215" xfId="0" applyNumberFormat="1" applyFont="1" applyFill="1" applyBorder="1" applyAlignment="1">
      <alignment horizontal="center" vertical="center"/>
    </xf>
    <xf numFmtId="174" fontId="14" fillId="7" borderId="215" xfId="0" applyNumberFormat="1" applyFont="1" applyFill="1" applyBorder="1" applyAlignment="1">
      <alignment horizontal="center" vertical="center"/>
    </xf>
    <xf numFmtId="174" fontId="14" fillId="7" borderId="216" xfId="0" applyNumberFormat="1" applyFont="1" applyFill="1" applyBorder="1" applyAlignment="1">
      <alignment horizontal="center" vertical="center"/>
    </xf>
    <xf numFmtId="174" fontId="5" fillId="7" borderId="217" xfId="0" applyNumberFormat="1" applyFont="1" applyFill="1" applyBorder="1" applyAlignment="1">
      <alignment horizontal="center" vertical="center"/>
    </xf>
    <xf numFmtId="174" fontId="5" fillId="7" borderId="218" xfId="0" applyNumberFormat="1" applyFont="1" applyFill="1" applyBorder="1" applyAlignment="1">
      <alignment horizontal="center" vertical="center"/>
    </xf>
    <xf numFmtId="174" fontId="5" fillId="7" borderId="219" xfId="0" applyNumberFormat="1" applyFont="1" applyFill="1" applyBorder="1" applyAlignment="1">
      <alignment horizontal="center" vertical="center"/>
    </xf>
    <xf numFmtId="174" fontId="5" fillId="7" borderId="220" xfId="0" applyNumberFormat="1" applyFont="1" applyFill="1" applyBorder="1" applyAlignment="1">
      <alignment horizontal="center" vertical="center"/>
    </xf>
    <xf numFmtId="0" fontId="12" fillId="9" borderId="3" xfId="2" applyFont="1" applyFill="1" applyBorder="1" applyAlignment="1">
      <alignment horizontal="center" vertical="center" wrapText="1"/>
    </xf>
    <xf numFmtId="174" fontId="14" fillId="7" borderId="217" xfId="0" applyNumberFormat="1" applyFont="1" applyFill="1" applyBorder="1" applyAlignment="1">
      <alignment horizontal="center" vertical="center"/>
    </xf>
    <xf numFmtId="174" fontId="14" fillId="7" borderId="218" xfId="0" applyNumberFormat="1" applyFont="1" applyFill="1" applyBorder="1" applyAlignment="1">
      <alignment horizontal="center" vertical="center"/>
    </xf>
    <xf numFmtId="1" fontId="27" fillId="35" borderId="34" xfId="0" applyNumberFormat="1" applyFont="1" applyFill="1" applyBorder="1" applyAlignment="1" applyProtection="1">
      <alignment horizontal="center" vertical="center"/>
      <protection locked="0"/>
    </xf>
    <xf numFmtId="0" fontId="14" fillId="0" borderId="58" xfId="9" applyFont="1" applyBorder="1" applyAlignment="1">
      <alignment horizontal="center" vertical="center"/>
    </xf>
    <xf numFmtId="0" fontId="14" fillId="27" borderId="58" xfId="9" applyFont="1" applyFill="1" applyBorder="1" applyAlignment="1">
      <alignment horizontal="center" vertical="center"/>
    </xf>
    <xf numFmtId="0" fontId="84" fillId="27" borderId="61" xfId="9" applyFont="1" applyFill="1" applyBorder="1" applyAlignment="1">
      <alignment horizontal="center" vertical="center"/>
    </xf>
    <xf numFmtId="0" fontId="14" fillId="0" borderId="47" xfId="9" applyFont="1" applyBorder="1" applyAlignment="1">
      <alignment horizontal="center" vertical="center"/>
    </xf>
    <xf numFmtId="0" fontId="14" fillId="0" borderId="62" xfId="9" applyFont="1" applyBorder="1" applyAlignment="1">
      <alignment horizontal="center" vertical="center"/>
    </xf>
    <xf numFmtId="169" fontId="12" fillId="9" borderId="0" xfId="2" applyNumberFormat="1" applyFont="1" applyFill="1" applyAlignment="1">
      <alignment horizontal="center" vertical="center" wrapText="1"/>
    </xf>
    <xf numFmtId="174" fontId="5" fillId="7" borderId="100" xfId="0" applyNumberFormat="1" applyFont="1" applyFill="1" applyBorder="1" applyAlignment="1">
      <alignment horizontal="center" vertical="center"/>
    </xf>
    <xf numFmtId="174" fontId="5" fillId="7" borderId="82" xfId="0" applyNumberFormat="1" applyFont="1" applyFill="1" applyBorder="1" applyAlignment="1">
      <alignment horizontal="center" vertical="center"/>
    </xf>
    <xf numFmtId="0" fontId="10" fillId="7" borderId="7" xfId="5" applyFill="1" applyBorder="1" applyAlignment="1"/>
    <xf numFmtId="0" fontId="10" fillId="7" borderId="0" xfId="5" applyFill="1" applyBorder="1" applyAlignment="1"/>
    <xf numFmtId="0" fontId="10" fillId="7" borderId="73" xfId="5" applyFill="1" applyBorder="1" applyAlignment="1"/>
    <xf numFmtId="0" fontId="18" fillId="0" borderId="196" xfId="0" applyFont="1" applyBorder="1" applyAlignment="1" applyProtection="1">
      <alignment horizontal="center" vertical="center"/>
      <protection hidden="1"/>
    </xf>
    <xf numFmtId="0" fontId="18" fillId="6" borderId="49" xfId="0" applyFont="1" applyFill="1" applyBorder="1" applyAlignment="1" applyProtection="1">
      <alignment horizontal="center" vertical="center" wrapText="1"/>
      <protection hidden="1"/>
    </xf>
    <xf numFmtId="0" fontId="18" fillId="0" borderId="180" xfId="0" applyFont="1" applyBorder="1" applyAlignment="1" applyProtection="1">
      <alignment horizontal="right" vertical="center" indent="1"/>
      <protection hidden="1"/>
    </xf>
    <xf numFmtId="0" fontId="18" fillId="19" borderId="231" xfId="0" applyFont="1" applyFill="1" applyBorder="1" applyAlignment="1" applyProtection="1">
      <alignment horizontal="right" vertical="center" indent="1"/>
      <protection hidden="1"/>
    </xf>
    <xf numFmtId="0" fontId="34" fillId="19" borderId="180" xfId="6" applyFont="1" applyFill="1" applyBorder="1" applyAlignment="1" applyProtection="1">
      <alignment horizontal="right" vertical="center" indent="1"/>
      <protection hidden="1"/>
    </xf>
    <xf numFmtId="174" fontId="16" fillId="7" borderId="99" xfId="0" applyNumberFormat="1" applyFont="1" applyFill="1" applyBorder="1" applyAlignment="1">
      <alignment horizontal="center" vertical="center"/>
    </xf>
    <xf numFmtId="174" fontId="16" fillId="7" borderId="90" xfId="0" applyNumberFormat="1" applyFont="1" applyFill="1" applyBorder="1" applyAlignment="1">
      <alignment horizontal="center" vertical="center"/>
    </xf>
    <xf numFmtId="0" fontId="91" fillId="7" borderId="150" xfId="0" applyFont="1" applyFill="1" applyBorder="1" applyAlignment="1">
      <alignment horizontal="left" indent="1"/>
    </xf>
    <xf numFmtId="0" fontId="18" fillId="6" borderId="11" xfId="0" applyFont="1" applyFill="1" applyBorder="1" applyAlignment="1" applyProtection="1">
      <alignment horizontal="right" vertical="center" indent="1"/>
      <protection hidden="1"/>
    </xf>
    <xf numFmtId="0" fontId="22" fillId="17" borderId="38" xfId="0" applyFont="1" applyFill="1" applyBorder="1" applyAlignment="1" applyProtection="1">
      <alignment horizontal="center" vertical="center"/>
      <protection hidden="1"/>
    </xf>
    <xf numFmtId="0" fontId="70" fillId="13" borderId="0" xfId="0" applyFont="1" applyFill="1" applyAlignment="1" applyProtection="1">
      <alignment horizontal="left" wrapText="1"/>
      <protection hidden="1"/>
    </xf>
    <xf numFmtId="0" fontId="22" fillId="17" borderId="36" xfId="0" applyFont="1" applyFill="1" applyBorder="1" applyAlignment="1" applyProtection="1">
      <alignment vertical="center" wrapText="1"/>
      <protection hidden="1"/>
    </xf>
    <xf numFmtId="0" fontId="18" fillId="15" borderId="0" xfId="0" applyFont="1" applyFill="1" applyAlignment="1" applyProtection="1">
      <alignment horizontal="right" vertical="center"/>
      <protection hidden="1"/>
    </xf>
    <xf numFmtId="0" fontId="18" fillId="6" borderId="0" xfId="0" applyFont="1" applyFill="1" applyAlignment="1" applyProtection="1">
      <alignment horizontal="right" vertical="center"/>
      <protection hidden="1"/>
    </xf>
    <xf numFmtId="0" fontId="40" fillId="6" borderId="0" xfId="0" applyFont="1" applyFill="1" applyAlignment="1" applyProtection="1">
      <alignment horizontal="right" vertical="center"/>
      <protection hidden="1"/>
    </xf>
    <xf numFmtId="0" fontId="18" fillId="15" borderId="47" xfId="0" applyFont="1" applyFill="1" applyBorder="1" applyAlignment="1" applyProtection="1">
      <alignment horizontal="right" vertical="center"/>
      <protection hidden="1"/>
    </xf>
    <xf numFmtId="1" fontId="27" fillId="25" borderId="13" xfId="0" applyNumberFormat="1" applyFont="1" applyFill="1" applyBorder="1" applyAlignment="1" applyProtection="1">
      <alignment horizontal="center" vertical="center"/>
      <protection locked="0"/>
    </xf>
    <xf numFmtId="0" fontId="18" fillId="19" borderId="4" xfId="0" applyFont="1" applyFill="1" applyBorder="1" applyAlignment="1" applyProtection="1">
      <alignment horizontal="right" vertical="center" indent="1"/>
      <protection hidden="1"/>
    </xf>
    <xf numFmtId="0" fontId="68" fillId="13" borderId="0" xfId="0" applyFont="1" applyFill="1" applyAlignment="1" applyProtection="1">
      <alignment vertical="center"/>
      <protection hidden="1"/>
    </xf>
    <xf numFmtId="0" fontId="18" fillId="15" borderId="17" xfId="0" applyFont="1" applyFill="1" applyBorder="1" applyAlignment="1" applyProtection="1">
      <alignment horizontal="center" vertical="center" wrapText="1"/>
      <protection hidden="1"/>
    </xf>
    <xf numFmtId="0" fontId="18" fillId="15" borderId="11" xfId="0" applyFont="1" applyFill="1" applyBorder="1" applyAlignment="1" applyProtection="1">
      <alignment horizontal="center" vertical="center" wrapText="1"/>
      <protection hidden="1"/>
    </xf>
    <xf numFmtId="0" fontId="68" fillId="40" borderId="0" xfId="0" applyFont="1" applyFill="1" applyAlignment="1" applyProtection="1">
      <alignment vertical="center"/>
      <protection hidden="1"/>
    </xf>
    <xf numFmtId="0" fontId="18" fillId="21" borderId="0" xfId="0" applyFont="1" applyFill="1" applyAlignment="1" applyProtection="1">
      <alignment horizontal="right" vertical="center"/>
      <protection hidden="1"/>
    </xf>
    <xf numFmtId="0" fontId="27" fillId="12" borderId="32" xfId="0" applyFont="1" applyFill="1" applyBorder="1" applyAlignment="1" applyProtection="1">
      <alignment horizontal="center" vertical="center"/>
      <protection locked="0"/>
    </xf>
    <xf numFmtId="0" fontId="22" fillId="17" borderId="36" xfId="0" applyFont="1" applyFill="1" applyBorder="1" applyAlignment="1" applyProtection="1">
      <alignment horizontal="left" vertical="center" indent="1"/>
      <protection hidden="1"/>
    </xf>
    <xf numFmtId="0" fontId="22" fillId="17" borderId="191" xfId="0" applyFont="1" applyFill="1" applyBorder="1" applyAlignment="1" applyProtection="1">
      <alignment horizontal="left" vertical="center" indent="1"/>
      <protection hidden="1"/>
    </xf>
    <xf numFmtId="1" fontId="27" fillId="4" borderId="33" xfId="0" applyNumberFormat="1" applyFont="1" applyFill="1" applyBorder="1" applyAlignment="1" applyProtection="1">
      <alignment horizontal="center" vertical="center"/>
      <protection locked="0"/>
    </xf>
    <xf numFmtId="1" fontId="27" fillId="3" borderId="37" xfId="0" applyNumberFormat="1" applyFont="1" applyFill="1" applyBorder="1" applyAlignment="1" applyProtection="1">
      <alignment horizontal="center" vertical="center"/>
      <protection locked="0"/>
    </xf>
    <xf numFmtId="0" fontId="18" fillId="21" borderId="34" xfId="0" applyFont="1" applyFill="1" applyBorder="1" applyAlignment="1" applyProtection="1">
      <alignment horizontal="right" vertical="center"/>
      <protection hidden="1"/>
    </xf>
    <xf numFmtId="0" fontId="18" fillId="6" borderId="237" xfId="0" applyFont="1" applyFill="1" applyBorder="1" applyAlignment="1" applyProtection="1">
      <alignment horizontal="right" vertical="center"/>
      <protection hidden="1"/>
    </xf>
    <xf numFmtId="0" fontId="18" fillId="21" borderId="237" xfId="0" applyFont="1" applyFill="1" applyBorder="1" applyAlignment="1" applyProtection="1">
      <alignment horizontal="right" vertical="center"/>
      <protection hidden="1"/>
    </xf>
    <xf numFmtId="0" fontId="18" fillId="21" borderId="238" xfId="0" applyFont="1" applyFill="1" applyBorder="1" applyAlignment="1" applyProtection="1">
      <alignment horizontal="right" vertical="center"/>
      <protection hidden="1"/>
    </xf>
    <xf numFmtId="0" fontId="18" fillId="6" borderId="238" xfId="0" applyFont="1" applyFill="1" applyBorder="1" applyAlignment="1" applyProtection="1">
      <alignment horizontal="right" vertical="center"/>
      <protection hidden="1"/>
    </xf>
    <xf numFmtId="0" fontId="18" fillId="21" borderId="59" xfId="0" applyFont="1" applyFill="1" applyBorder="1" applyAlignment="1" applyProtection="1">
      <alignment horizontal="right" vertical="center"/>
      <protection hidden="1"/>
    </xf>
    <xf numFmtId="0" fontId="18" fillId="6" borderId="47" xfId="0" applyFont="1" applyFill="1" applyBorder="1" applyAlignment="1" applyProtection="1">
      <alignment horizontal="right" vertical="center"/>
      <protection hidden="1"/>
    </xf>
    <xf numFmtId="0" fontId="18" fillId="21" borderId="129" xfId="0" applyFont="1" applyFill="1" applyBorder="1" applyAlignment="1" applyProtection="1">
      <alignment horizontal="right" vertical="center"/>
      <protection hidden="1"/>
    </xf>
    <xf numFmtId="0" fontId="27" fillId="11" borderId="32" xfId="0" applyFont="1" applyFill="1" applyBorder="1" applyAlignment="1" applyProtection="1">
      <alignment horizontal="center" vertical="center"/>
      <protection locked="0"/>
    </xf>
    <xf numFmtId="0" fontId="18" fillId="23" borderId="239" xfId="0" applyFont="1" applyFill="1" applyBorder="1" applyAlignment="1" applyProtection="1">
      <alignment horizontal="right" vertical="center"/>
      <protection hidden="1"/>
    </xf>
    <xf numFmtId="0" fontId="22" fillId="6" borderId="0" xfId="5" applyFont="1" applyFill="1" applyBorder="1" applyAlignment="1" applyProtection="1">
      <alignment horizontal="right" vertical="center"/>
      <protection hidden="1"/>
    </xf>
    <xf numFmtId="168" fontId="27" fillId="25" borderId="34" xfId="0" applyNumberFormat="1" applyFont="1" applyFill="1" applyBorder="1" applyAlignment="1" applyProtection="1">
      <alignment horizontal="center" vertical="center"/>
      <protection locked="0"/>
    </xf>
    <xf numFmtId="0" fontId="27" fillId="12" borderId="34" xfId="0" applyFont="1" applyFill="1" applyBorder="1" applyAlignment="1" applyProtection="1">
      <alignment vertical="center" wrapText="1"/>
      <protection locked="0"/>
    </xf>
    <xf numFmtId="168" fontId="27" fillId="25" borderId="27" xfId="0" applyNumberFormat="1" applyFont="1" applyFill="1" applyBorder="1" applyAlignment="1" applyProtection="1">
      <alignment horizontal="center" vertical="center"/>
      <protection locked="0"/>
    </xf>
    <xf numFmtId="1" fontId="27" fillId="25" borderId="34" xfId="0" applyNumberFormat="1" applyFont="1" applyFill="1" applyBorder="1" applyAlignment="1" applyProtection="1">
      <alignment horizontal="center" vertical="center"/>
      <protection locked="0"/>
    </xf>
    <xf numFmtId="165" fontId="0" fillId="0" borderId="0" xfId="7" applyFont="1"/>
    <xf numFmtId="1" fontId="27" fillId="4" borderId="3" xfId="0" applyNumberFormat="1" applyFont="1" applyFill="1" applyBorder="1" applyAlignment="1" applyProtection="1">
      <alignment horizontal="center" vertical="center"/>
      <protection locked="0"/>
    </xf>
    <xf numFmtId="1" fontId="27" fillId="3" borderId="73" xfId="0" applyNumberFormat="1" applyFont="1" applyFill="1" applyBorder="1" applyAlignment="1" applyProtection="1">
      <alignment horizontal="center" vertical="center"/>
      <protection locked="0"/>
    </xf>
    <xf numFmtId="1" fontId="27" fillId="4" borderId="73" xfId="0" applyNumberFormat="1" applyFont="1" applyFill="1" applyBorder="1" applyAlignment="1" applyProtection="1">
      <alignment horizontal="center" vertical="center"/>
      <protection locked="0"/>
    </xf>
    <xf numFmtId="1" fontId="27" fillId="20" borderId="10" xfId="0" applyNumberFormat="1" applyFont="1" applyFill="1" applyBorder="1" applyAlignment="1" applyProtection="1">
      <alignment horizontal="center" vertical="center"/>
      <protection locked="0"/>
    </xf>
    <xf numFmtId="1" fontId="27" fillId="4" borderId="10" xfId="0" applyNumberFormat="1" applyFont="1" applyFill="1" applyBorder="1" applyAlignment="1" applyProtection="1">
      <alignment horizontal="center" vertical="center"/>
      <protection locked="0"/>
    </xf>
    <xf numFmtId="1" fontId="27" fillId="3" borderId="6" xfId="0" applyNumberFormat="1" applyFont="1" applyFill="1" applyBorder="1" applyAlignment="1" applyProtection="1">
      <alignment horizontal="center" vertical="center"/>
      <protection locked="0"/>
    </xf>
    <xf numFmtId="1" fontId="27" fillId="3" borderId="10" xfId="0" applyNumberFormat="1" applyFont="1" applyFill="1" applyBorder="1" applyAlignment="1" applyProtection="1">
      <alignment horizontal="center" vertical="center"/>
      <protection locked="0"/>
    </xf>
    <xf numFmtId="1" fontId="27" fillId="35" borderId="73" xfId="0" applyNumberFormat="1" applyFont="1" applyFill="1" applyBorder="1" applyAlignment="1" applyProtection="1">
      <alignment horizontal="center" vertical="center"/>
      <protection locked="0"/>
    </xf>
    <xf numFmtId="1" fontId="27" fillId="3" borderId="3" xfId="0" applyNumberFormat="1" applyFont="1" applyFill="1" applyBorder="1" applyAlignment="1" applyProtection="1">
      <alignment horizontal="center" vertical="center"/>
      <protection locked="0"/>
    </xf>
    <xf numFmtId="1" fontId="27" fillId="25" borderId="3" xfId="0" applyNumberFormat="1" applyFont="1" applyFill="1" applyBorder="1" applyAlignment="1" applyProtection="1">
      <alignment horizontal="center" vertical="center"/>
      <protection locked="0"/>
    </xf>
    <xf numFmtId="0" fontId="18" fillId="0" borderId="49" xfId="0" applyFont="1" applyBorder="1" applyAlignment="1" applyProtection="1">
      <alignment horizontal="center" vertical="center" wrapText="1"/>
      <protection hidden="1"/>
    </xf>
    <xf numFmtId="0" fontId="53" fillId="11" borderId="17" xfId="0" applyFont="1" applyFill="1" applyBorder="1" applyAlignment="1" applyProtection="1">
      <alignment horizontal="left" vertical="center" wrapText="1"/>
      <protection hidden="1"/>
    </xf>
    <xf numFmtId="0" fontId="16" fillId="0" borderId="0" xfId="0" applyFont="1" applyAlignment="1">
      <alignment vertical="center"/>
    </xf>
    <xf numFmtId="0" fontId="15" fillId="0" borderId="0" xfId="0" applyFont="1" applyAlignment="1">
      <alignment vertical="center"/>
    </xf>
    <xf numFmtId="176" fontId="14" fillId="7" borderId="102" xfId="0" applyNumberFormat="1" applyFont="1" applyFill="1" applyBorder="1" applyAlignment="1">
      <alignment horizontal="center" vertical="center"/>
    </xf>
    <xf numFmtId="0" fontId="10" fillId="7" borderId="0" xfId="5" applyFill="1" applyBorder="1" applyAlignment="1">
      <alignment horizontal="left"/>
    </xf>
    <xf numFmtId="0" fontId="10" fillId="7" borderId="73" xfId="5" applyFill="1" applyBorder="1" applyAlignment="1">
      <alignment horizontal="left"/>
    </xf>
    <xf numFmtId="0" fontId="91" fillId="7" borderId="7" xfId="5" applyFont="1" applyFill="1" applyBorder="1" applyAlignment="1">
      <alignment horizontal="left"/>
    </xf>
    <xf numFmtId="0" fontId="16" fillId="7" borderId="7" xfId="5" applyFont="1" applyFill="1" applyBorder="1" applyAlignment="1">
      <alignment horizontal="left"/>
    </xf>
    <xf numFmtId="0" fontId="16" fillId="7" borderId="8" xfId="5" applyFont="1" applyFill="1" applyBorder="1" applyAlignment="1">
      <alignment horizontal="left"/>
    </xf>
    <xf numFmtId="0" fontId="10" fillId="7" borderId="9" xfId="5" applyFill="1" applyBorder="1" applyAlignment="1">
      <alignment horizontal="left"/>
    </xf>
    <xf numFmtId="0" fontId="10" fillId="7" borderId="10" xfId="5" applyFill="1" applyBorder="1" applyAlignment="1">
      <alignment horizontal="left"/>
    </xf>
    <xf numFmtId="0" fontId="68" fillId="41" borderId="0" xfId="0" applyFont="1" applyFill="1" applyAlignment="1" applyProtection="1">
      <alignment vertical="center"/>
      <protection hidden="1"/>
    </xf>
    <xf numFmtId="175" fontId="18" fillId="16" borderId="32" xfId="7" applyNumberFormat="1" applyFont="1" applyFill="1" applyBorder="1" applyAlignment="1" applyProtection="1">
      <alignment horizontal="center" vertical="center"/>
      <protection hidden="1"/>
    </xf>
    <xf numFmtId="175" fontId="20" fillId="11" borderId="33" xfId="7" applyNumberFormat="1" applyFont="1" applyFill="1" applyBorder="1" applyAlignment="1" applyProtection="1">
      <alignment horizontal="center" vertical="center"/>
      <protection hidden="1"/>
    </xf>
    <xf numFmtId="175" fontId="21" fillId="11" borderId="38" xfId="7" applyNumberFormat="1" applyFont="1" applyFill="1" applyBorder="1" applyAlignment="1" applyProtection="1">
      <alignment vertical="center"/>
      <protection hidden="1"/>
    </xf>
    <xf numFmtId="175" fontId="21" fillId="12" borderId="33" xfId="7" applyNumberFormat="1" applyFont="1" applyFill="1" applyBorder="1" applyAlignment="1" applyProtection="1">
      <alignment horizontal="center" vertical="center"/>
      <protection hidden="1"/>
    </xf>
    <xf numFmtId="175" fontId="21" fillId="11" borderId="38" xfId="7" applyNumberFormat="1" applyFont="1" applyFill="1" applyBorder="1" applyAlignment="1" applyProtection="1">
      <alignment horizontal="center" vertical="center"/>
      <protection hidden="1"/>
    </xf>
    <xf numFmtId="175" fontId="21" fillId="12" borderId="33" xfId="7" applyNumberFormat="1" applyFont="1" applyFill="1" applyBorder="1" applyAlignment="1" applyProtection="1">
      <alignment vertical="center" wrapText="1"/>
      <protection hidden="1"/>
    </xf>
    <xf numFmtId="175" fontId="30" fillId="24" borderId="32" xfId="7" applyNumberFormat="1" applyFont="1" applyFill="1" applyBorder="1" applyAlignment="1" applyProtection="1">
      <alignment horizontal="center" vertical="center"/>
      <protection hidden="1"/>
    </xf>
    <xf numFmtId="175" fontId="24" fillId="17" borderId="32" xfId="7" applyNumberFormat="1" applyFont="1" applyFill="1" applyBorder="1" applyAlignment="1" applyProtection="1">
      <alignment horizontal="center" vertical="center"/>
      <protection hidden="1"/>
    </xf>
    <xf numFmtId="165" fontId="30" fillId="24" borderId="32" xfId="7" applyFont="1" applyFill="1" applyBorder="1" applyAlignment="1" applyProtection="1">
      <alignment horizontal="center" vertical="center"/>
      <protection hidden="1"/>
    </xf>
    <xf numFmtId="165" fontId="24" fillId="17" borderId="32" xfId="7" applyFont="1" applyFill="1" applyBorder="1" applyAlignment="1" applyProtection="1">
      <alignment horizontal="center" vertical="center"/>
      <protection hidden="1"/>
    </xf>
    <xf numFmtId="165" fontId="18" fillId="19" borderId="32" xfId="7" applyFont="1" applyFill="1" applyBorder="1" applyAlignment="1" applyProtection="1">
      <alignment horizontal="center" vertical="center"/>
      <protection hidden="1"/>
    </xf>
    <xf numFmtId="165" fontId="94" fillId="42" borderId="36" xfId="7" applyFont="1" applyFill="1" applyBorder="1" applyAlignment="1" applyProtection="1">
      <alignment horizontal="center" vertical="center"/>
      <protection hidden="1"/>
    </xf>
    <xf numFmtId="175" fontId="18" fillId="16" borderId="0" xfId="7" applyNumberFormat="1" applyFont="1" applyFill="1" applyAlignment="1" applyProtection="1">
      <alignment horizontal="center" vertical="center"/>
      <protection hidden="1"/>
    </xf>
    <xf numFmtId="175" fontId="18" fillId="19" borderId="37" xfId="7" applyNumberFormat="1" applyFont="1" applyFill="1" applyBorder="1" applyAlignment="1" applyProtection="1">
      <alignment horizontal="center" vertical="center"/>
      <protection hidden="1"/>
    </xf>
    <xf numFmtId="175" fontId="18" fillId="16" borderId="47" xfId="7" applyNumberFormat="1" applyFont="1" applyFill="1" applyBorder="1" applyAlignment="1" applyProtection="1">
      <alignment horizontal="center" vertical="center"/>
      <protection hidden="1"/>
    </xf>
    <xf numFmtId="175" fontId="18" fillId="19" borderId="33" xfId="7" applyNumberFormat="1" applyFont="1" applyFill="1" applyBorder="1" applyAlignment="1" applyProtection="1">
      <alignment horizontal="center" vertical="center"/>
      <protection hidden="1"/>
    </xf>
    <xf numFmtId="175" fontId="18" fillId="19" borderId="32" xfId="7" applyNumberFormat="1" applyFont="1" applyFill="1" applyBorder="1" applyAlignment="1" applyProtection="1">
      <alignment horizontal="center" vertical="center"/>
      <protection hidden="1"/>
    </xf>
    <xf numFmtId="175" fontId="18" fillId="16" borderId="129" xfId="7" applyNumberFormat="1" applyFont="1" applyFill="1" applyBorder="1" applyAlignment="1" applyProtection="1">
      <alignment horizontal="center" vertical="center"/>
      <protection hidden="1"/>
    </xf>
    <xf numFmtId="175" fontId="18" fillId="16" borderId="35" xfId="7" applyNumberFormat="1" applyFont="1" applyFill="1" applyBorder="1" applyAlignment="1" applyProtection="1">
      <alignment horizontal="center" vertical="center"/>
      <protection hidden="1"/>
    </xf>
    <xf numFmtId="175" fontId="18" fillId="16" borderId="36" xfId="7" applyNumberFormat="1" applyFont="1" applyFill="1" applyBorder="1" applyAlignment="1" applyProtection="1">
      <alignment horizontal="center" vertical="center"/>
      <protection hidden="1"/>
    </xf>
    <xf numFmtId="175" fontId="20" fillId="11" borderId="48" xfId="7" applyNumberFormat="1" applyFont="1" applyFill="1" applyBorder="1" applyAlignment="1" applyProtection="1">
      <alignment horizontal="center" vertical="center"/>
      <protection hidden="1"/>
    </xf>
    <xf numFmtId="175" fontId="21" fillId="11" borderId="27" xfId="7" applyNumberFormat="1" applyFont="1" applyFill="1" applyBorder="1" applyAlignment="1" applyProtection="1">
      <alignment vertical="center"/>
      <protection hidden="1"/>
    </xf>
    <xf numFmtId="175" fontId="18" fillId="16" borderId="191" xfId="7" applyNumberFormat="1" applyFont="1" applyFill="1" applyBorder="1" applyAlignment="1" applyProtection="1">
      <alignment horizontal="center" vertical="center"/>
      <protection hidden="1"/>
    </xf>
    <xf numFmtId="175" fontId="21" fillId="12" borderId="32" xfId="7" applyNumberFormat="1" applyFont="1" applyFill="1" applyBorder="1" applyAlignment="1" applyProtection="1">
      <alignment horizontal="center" vertical="center"/>
      <protection hidden="1"/>
    </xf>
    <xf numFmtId="175" fontId="21" fillId="11" borderId="34" xfId="7" applyNumberFormat="1" applyFont="1" applyFill="1" applyBorder="1" applyAlignment="1" applyProtection="1">
      <alignment horizontal="center" vertical="center"/>
      <protection hidden="1"/>
    </xf>
    <xf numFmtId="175" fontId="18" fillId="16" borderId="0" xfId="7" applyNumberFormat="1" applyFont="1" applyFill="1" applyBorder="1" applyAlignment="1" applyProtection="1">
      <alignment horizontal="center" vertical="center"/>
      <protection hidden="1"/>
    </xf>
    <xf numFmtId="175" fontId="21" fillId="11" borderId="32" xfId="7" applyNumberFormat="1" applyFont="1" applyFill="1" applyBorder="1" applyAlignment="1" applyProtection="1">
      <alignment horizontal="center" vertical="center"/>
      <protection hidden="1"/>
    </xf>
    <xf numFmtId="175" fontId="21" fillId="12" borderId="38" xfId="7" applyNumberFormat="1" applyFont="1" applyFill="1" applyBorder="1" applyAlignment="1" applyProtection="1">
      <alignment vertical="center" wrapText="1"/>
      <protection hidden="1"/>
    </xf>
    <xf numFmtId="175" fontId="21" fillId="11" borderId="34" xfId="7" applyNumberFormat="1" applyFont="1" applyFill="1" applyBorder="1" applyAlignment="1" applyProtection="1">
      <alignment vertical="center"/>
      <protection hidden="1"/>
    </xf>
    <xf numFmtId="175" fontId="30" fillId="24" borderId="0" xfId="7" applyNumberFormat="1" applyFont="1" applyFill="1" applyBorder="1" applyAlignment="1" applyProtection="1">
      <alignment horizontal="center" vertical="center"/>
      <protection hidden="1"/>
    </xf>
    <xf numFmtId="175" fontId="24" fillId="17" borderId="0" xfId="7" applyNumberFormat="1" applyFont="1" applyFill="1" applyBorder="1" applyAlignment="1" applyProtection="1">
      <alignment horizontal="center" vertical="center"/>
      <protection hidden="1"/>
    </xf>
    <xf numFmtId="178" fontId="18" fillId="36" borderId="0" xfId="0" applyNumberFormat="1" applyFont="1" applyFill="1"/>
    <xf numFmtId="177" fontId="18" fillId="22" borderId="40" xfId="7" applyNumberFormat="1" applyFont="1" applyFill="1" applyBorder="1" applyAlignment="1" applyProtection="1">
      <alignment horizontal="center" vertical="center"/>
      <protection locked="0"/>
    </xf>
    <xf numFmtId="0" fontId="53" fillId="11" borderId="105" xfId="0" applyFont="1" applyFill="1" applyBorder="1" applyAlignment="1" applyProtection="1">
      <alignment vertical="center"/>
      <protection hidden="1"/>
    </xf>
    <xf numFmtId="0" fontId="53" fillId="11" borderId="68" xfId="0" applyFont="1" applyFill="1" applyBorder="1" applyAlignment="1" applyProtection="1">
      <alignment vertical="center"/>
      <protection hidden="1"/>
    </xf>
    <xf numFmtId="0" fontId="53" fillId="11" borderId="105" xfId="6" applyFont="1" applyFill="1" applyBorder="1" applyAlignment="1" applyProtection="1">
      <alignment vertical="center"/>
      <protection hidden="1"/>
    </xf>
    <xf numFmtId="0" fontId="53" fillId="11" borderId="68" xfId="6" applyFont="1" applyFill="1" applyBorder="1" applyAlignment="1" applyProtection="1">
      <alignment vertical="center"/>
      <protection hidden="1"/>
    </xf>
    <xf numFmtId="0" fontId="53" fillId="11" borderId="78" xfId="0" applyFont="1" applyFill="1" applyBorder="1" applyAlignment="1" applyProtection="1">
      <alignment vertical="center"/>
      <protection hidden="1"/>
    </xf>
    <xf numFmtId="0" fontId="53" fillId="11" borderId="104" xfId="0" applyFont="1" applyFill="1" applyBorder="1" applyAlignment="1" applyProtection="1">
      <alignment vertical="center"/>
      <protection hidden="1"/>
    </xf>
    <xf numFmtId="0" fontId="0" fillId="20" borderId="0" xfId="0" applyFill="1" applyAlignment="1" applyProtection="1">
      <alignment vertical="center"/>
      <protection hidden="1"/>
    </xf>
    <xf numFmtId="0" fontId="0" fillId="20" borderId="0" xfId="0" applyFill="1" applyAlignment="1">
      <alignment vertical="center"/>
    </xf>
    <xf numFmtId="0" fontId="16" fillId="20" borderId="0" xfId="0" applyFont="1" applyFill="1" applyAlignment="1">
      <alignment vertical="center"/>
    </xf>
    <xf numFmtId="2" fontId="0" fillId="20" borderId="0" xfId="0" applyNumberFormat="1" applyFill="1" applyAlignment="1" applyProtection="1">
      <alignment vertical="center"/>
      <protection hidden="1"/>
    </xf>
    <xf numFmtId="0" fontId="95" fillId="0" borderId="0" xfId="0" applyFont="1" applyAlignment="1">
      <alignment vertical="center"/>
    </xf>
    <xf numFmtId="0" fontId="96" fillId="20" borderId="0" xfId="0" applyFont="1" applyFill="1" applyAlignment="1" applyProtection="1">
      <alignment vertical="center"/>
      <protection hidden="1"/>
    </xf>
    <xf numFmtId="175" fontId="94" fillId="42" borderId="36" xfId="7" applyNumberFormat="1" applyFont="1" applyFill="1" applyBorder="1" applyAlignment="1" applyProtection="1">
      <alignment horizontal="center" vertical="center"/>
      <protection hidden="1"/>
    </xf>
    <xf numFmtId="165" fontId="30" fillId="24" borderId="0" xfId="7" applyFont="1" applyFill="1" applyBorder="1" applyAlignment="1" applyProtection="1">
      <alignment horizontal="center" vertical="center"/>
      <protection hidden="1"/>
    </xf>
    <xf numFmtId="165" fontId="24" fillId="17" borderId="0" xfId="7" applyFont="1" applyFill="1" applyBorder="1" applyAlignment="1" applyProtection="1">
      <alignment horizontal="center" vertical="center"/>
      <protection hidden="1"/>
    </xf>
    <xf numFmtId="43" fontId="0" fillId="0" borderId="0" xfId="0" applyNumberFormat="1"/>
    <xf numFmtId="0" fontId="18" fillId="15" borderId="13" xfId="0" applyFont="1" applyFill="1" applyBorder="1" applyAlignment="1" applyProtection="1">
      <alignment horizontal="center" vertical="center" wrapText="1"/>
      <protection hidden="1"/>
    </xf>
    <xf numFmtId="0" fontId="56" fillId="38" borderId="3" xfId="0" applyFont="1" applyFill="1" applyBorder="1" applyAlignment="1">
      <alignment horizontal="center" vertical="center" wrapText="1"/>
    </xf>
    <xf numFmtId="0" fontId="22" fillId="17" borderId="59" xfId="0" applyFont="1" applyFill="1" applyBorder="1" applyAlignment="1" applyProtection="1">
      <alignment horizontal="center" vertical="center"/>
      <protection hidden="1"/>
    </xf>
    <xf numFmtId="0" fontId="18" fillId="15" borderId="48" xfId="0" applyFont="1" applyFill="1" applyBorder="1" applyAlignment="1" applyProtection="1">
      <alignment horizontal="right" vertical="center"/>
      <protection hidden="1"/>
    </xf>
    <xf numFmtId="1" fontId="27" fillId="3" borderId="48" xfId="0" applyNumberFormat="1" applyFont="1" applyFill="1" applyBorder="1" applyAlignment="1" applyProtection="1">
      <alignment horizontal="center" vertical="center"/>
      <protection locked="0"/>
    </xf>
    <xf numFmtId="175" fontId="18" fillId="16" borderId="240" xfId="7" applyNumberFormat="1" applyFont="1" applyFill="1" applyBorder="1" applyAlignment="1" applyProtection="1">
      <alignment horizontal="center" vertical="center"/>
      <protection hidden="1"/>
    </xf>
    <xf numFmtId="1" fontId="27" fillId="3" borderId="38" xfId="0" applyNumberFormat="1" applyFont="1" applyFill="1" applyBorder="1" applyAlignment="1" applyProtection="1">
      <alignment horizontal="center" vertical="center"/>
      <protection locked="0"/>
    </xf>
    <xf numFmtId="175" fontId="18" fillId="16" borderId="33" xfId="7" applyNumberFormat="1" applyFont="1" applyFill="1" applyBorder="1" applyAlignment="1" applyProtection="1">
      <alignment horizontal="center" vertical="center"/>
      <protection hidden="1"/>
    </xf>
    <xf numFmtId="1" fontId="27" fillId="3" borderId="27" xfId="0" applyNumberFormat="1" applyFont="1" applyFill="1" applyBorder="1" applyAlignment="1" applyProtection="1">
      <alignment horizontal="center" vertical="center"/>
      <protection locked="0"/>
    </xf>
    <xf numFmtId="175" fontId="18" fillId="16" borderId="37" xfId="7" applyNumberFormat="1" applyFont="1" applyFill="1" applyBorder="1" applyAlignment="1" applyProtection="1">
      <alignment horizontal="center" vertical="center"/>
      <protection hidden="1"/>
    </xf>
    <xf numFmtId="0" fontId="18" fillId="21" borderId="240" xfId="0" applyFont="1" applyFill="1" applyBorder="1" applyAlignment="1" applyProtection="1">
      <alignment horizontal="right" vertical="center"/>
      <protection hidden="1"/>
    </xf>
    <xf numFmtId="1" fontId="27" fillId="4" borderId="240" xfId="0" applyNumberFormat="1" applyFont="1" applyFill="1" applyBorder="1" applyAlignment="1" applyProtection="1">
      <alignment horizontal="center" vertical="center"/>
      <protection locked="0"/>
    </xf>
    <xf numFmtId="0" fontId="18" fillId="21" borderId="33" xfId="0" applyFont="1" applyFill="1" applyBorder="1" applyAlignment="1" applyProtection="1">
      <alignment horizontal="right" vertical="center"/>
      <protection hidden="1"/>
    </xf>
    <xf numFmtId="1" fontId="27" fillId="4" borderId="37" xfId="0" applyNumberFormat="1" applyFont="1" applyFill="1" applyBorder="1" applyAlignment="1" applyProtection="1">
      <alignment horizontal="center" vertical="center"/>
      <protection locked="0"/>
    </xf>
    <xf numFmtId="1" fontId="27" fillId="4" borderId="48" xfId="0" applyNumberFormat="1" applyFont="1" applyFill="1" applyBorder="1" applyAlignment="1" applyProtection="1">
      <alignment horizontal="center" vertical="center"/>
      <protection locked="0"/>
    </xf>
    <xf numFmtId="175" fontId="18" fillId="16" borderId="185" xfId="7" applyNumberFormat="1" applyFont="1" applyFill="1" applyBorder="1" applyAlignment="1" applyProtection="1">
      <alignment horizontal="center" vertical="center"/>
      <protection hidden="1"/>
    </xf>
    <xf numFmtId="175" fontId="18" fillId="19" borderId="240" xfId="7" applyNumberFormat="1" applyFont="1" applyFill="1" applyBorder="1" applyAlignment="1" applyProtection="1">
      <alignment horizontal="center" vertical="center"/>
      <protection hidden="1"/>
    </xf>
    <xf numFmtId="0" fontId="18" fillId="21" borderId="185" xfId="0" applyFont="1" applyFill="1" applyBorder="1" applyAlignment="1" applyProtection="1">
      <alignment horizontal="right" vertical="center"/>
      <protection hidden="1"/>
    </xf>
    <xf numFmtId="0" fontId="18" fillId="21" borderId="47" xfId="0" applyFont="1" applyFill="1" applyBorder="1" applyAlignment="1" applyProtection="1">
      <alignment horizontal="right" vertical="center"/>
      <protection hidden="1"/>
    </xf>
    <xf numFmtId="0" fontId="16" fillId="7" borderId="64" xfId="0" applyFont="1" applyFill="1" applyBorder="1" applyAlignment="1">
      <alignment horizontal="left" indent="1"/>
    </xf>
    <xf numFmtId="179" fontId="5" fillId="7" borderId="99" xfId="0" applyNumberFormat="1" applyFont="1" applyFill="1" applyBorder="1" applyAlignment="1">
      <alignment horizontal="center" vertical="center"/>
    </xf>
    <xf numFmtId="180" fontId="5" fillId="7" borderId="99" xfId="0" applyNumberFormat="1" applyFont="1" applyFill="1" applyBorder="1" applyAlignment="1">
      <alignment horizontal="center" vertical="center"/>
    </xf>
    <xf numFmtId="174" fontId="5" fillId="7" borderId="243" xfId="0" applyNumberFormat="1" applyFont="1" applyFill="1" applyBorder="1" applyAlignment="1">
      <alignment horizontal="center" vertical="center"/>
    </xf>
    <xf numFmtId="174" fontId="5" fillId="7" borderId="244" xfId="0" applyNumberFormat="1" applyFont="1" applyFill="1" applyBorder="1" applyAlignment="1">
      <alignment horizontal="center" vertical="center"/>
    </xf>
    <xf numFmtId="174" fontId="5" fillId="7" borderId="245" xfId="0" applyNumberFormat="1" applyFont="1" applyFill="1" applyBorder="1" applyAlignment="1">
      <alignment horizontal="center" vertical="center"/>
    </xf>
    <xf numFmtId="174" fontId="14" fillId="7" borderId="245" xfId="0" applyNumberFormat="1" applyFont="1" applyFill="1" applyBorder="1" applyAlignment="1">
      <alignment horizontal="center" vertical="center"/>
    </xf>
    <xf numFmtId="174" fontId="14" fillId="7" borderId="246" xfId="0" applyNumberFormat="1" applyFont="1" applyFill="1" applyBorder="1" applyAlignment="1">
      <alignment horizontal="center" vertical="center"/>
    </xf>
    <xf numFmtId="0" fontId="97" fillId="11" borderId="68" xfId="0" applyFont="1" applyFill="1" applyBorder="1" applyAlignment="1" applyProtection="1">
      <alignment vertical="center"/>
      <protection hidden="1"/>
    </xf>
    <xf numFmtId="0" fontId="99" fillId="0" borderId="0" xfId="0" applyFont="1" applyAlignment="1">
      <alignment vertical="center"/>
    </xf>
    <xf numFmtId="0" fontId="100" fillId="0" borderId="0" xfId="0" applyFont="1"/>
    <xf numFmtId="0" fontId="100" fillId="0" borderId="70" xfId="0" applyFont="1" applyBorder="1"/>
    <xf numFmtId="0" fontId="100" fillId="0" borderId="77" xfId="0" applyFont="1" applyBorder="1"/>
    <xf numFmtId="0" fontId="101" fillId="0" borderId="0" xfId="0" applyFont="1"/>
    <xf numFmtId="9" fontId="100" fillId="0" borderId="0" xfId="8" applyFont="1"/>
    <xf numFmtId="0" fontId="102" fillId="0" borderId="0" xfId="0" applyFont="1"/>
    <xf numFmtId="0" fontId="18" fillId="0" borderId="181" xfId="0" applyFont="1" applyBorder="1" applyAlignment="1" applyProtection="1">
      <alignment horizontal="right" vertical="center" indent="1"/>
      <protection hidden="1"/>
    </xf>
    <xf numFmtId="0" fontId="18" fillId="19" borderId="164" xfId="0" applyFont="1" applyFill="1" applyBorder="1" applyAlignment="1" applyProtection="1">
      <alignment horizontal="right" vertical="center" indent="1"/>
      <protection hidden="1"/>
    </xf>
    <xf numFmtId="0" fontId="18" fillId="0" borderId="190" xfId="0" applyFont="1" applyBorder="1" applyAlignment="1" applyProtection="1">
      <alignment horizontal="right" vertical="center" indent="1"/>
      <protection hidden="1"/>
    </xf>
    <xf numFmtId="0" fontId="22" fillId="19" borderId="2" xfId="5" applyFont="1" applyFill="1" applyBorder="1" applyAlignment="1" applyProtection="1">
      <alignment horizontal="right" vertical="center" indent="1"/>
      <protection hidden="1"/>
    </xf>
    <xf numFmtId="0" fontId="18" fillId="0" borderId="9" xfId="0" applyFont="1" applyBorder="1" applyAlignment="1" applyProtection="1">
      <alignment horizontal="right" vertical="center" indent="1"/>
      <protection hidden="1"/>
    </xf>
    <xf numFmtId="0" fontId="22" fillId="26" borderId="3" xfId="0" applyFont="1" applyFill="1" applyBorder="1" applyAlignment="1" applyProtection="1">
      <alignment horizontal="right" vertical="center" indent="1"/>
      <protection hidden="1"/>
    </xf>
    <xf numFmtId="0" fontId="52" fillId="11" borderId="247" xfId="0" applyFont="1" applyFill="1" applyBorder="1" applyAlignment="1" applyProtection="1">
      <alignment horizontal="center" vertical="center" wrapText="1"/>
      <protection hidden="1"/>
    </xf>
    <xf numFmtId="0" fontId="18" fillId="0" borderId="164" xfId="0" applyFont="1" applyBorder="1" applyAlignment="1" applyProtection="1">
      <alignment horizontal="right" vertical="center" indent="1"/>
      <protection hidden="1"/>
    </xf>
    <xf numFmtId="0" fontId="18" fillId="19" borderId="190" xfId="0" applyFont="1" applyFill="1" applyBorder="1" applyAlignment="1" applyProtection="1">
      <alignment horizontal="right" vertical="center" indent="1"/>
      <protection hidden="1"/>
    </xf>
    <xf numFmtId="0" fontId="22" fillId="19" borderId="3" xfId="0" applyFont="1" applyFill="1" applyBorder="1" applyAlignment="1" applyProtection="1">
      <alignment horizontal="right" vertical="center" indent="1"/>
      <protection hidden="1"/>
    </xf>
    <xf numFmtId="0" fontId="18" fillId="0" borderId="10" xfId="0" applyFont="1" applyBorder="1" applyAlignment="1" applyProtection="1">
      <alignment horizontal="right" vertical="center" indent="1"/>
      <protection hidden="1"/>
    </xf>
    <xf numFmtId="0" fontId="18" fillId="19" borderId="162" xfId="0" applyFont="1" applyFill="1" applyBorder="1" applyAlignment="1" applyProtection="1">
      <alignment horizontal="right" vertical="center" indent="1"/>
      <protection hidden="1"/>
    </xf>
    <xf numFmtId="0" fontId="22" fillId="0" borderId="164" xfId="0" applyFont="1" applyBorder="1" applyAlignment="1" applyProtection="1">
      <alignment horizontal="right" vertical="center" indent="1"/>
      <protection hidden="1"/>
    </xf>
    <xf numFmtId="0" fontId="22" fillId="19" borderId="164" xfId="0" applyFont="1" applyFill="1" applyBorder="1" applyAlignment="1" applyProtection="1">
      <alignment horizontal="right" vertical="center" indent="1"/>
      <protection hidden="1"/>
    </xf>
    <xf numFmtId="0" fontId="18" fillId="0" borderId="73" xfId="0" applyFont="1" applyBorder="1" applyAlignment="1" applyProtection="1">
      <alignment horizontal="right" vertical="center" indent="1"/>
      <protection hidden="1"/>
    </xf>
    <xf numFmtId="0" fontId="18" fillId="15" borderId="6" xfId="0" applyFont="1" applyFill="1" applyBorder="1" applyAlignment="1" applyProtection="1">
      <alignment horizontal="right" vertical="center" indent="1"/>
      <protection hidden="1"/>
    </xf>
    <xf numFmtId="0" fontId="61" fillId="11" borderId="247" xfId="0" applyFont="1" applyFill="1" applyBorder="1" applyAlignment="1" applyProtection="1">
      <alignment horizontal="center" vertical="center" wrapText="1"/>
      <protection hidden="1"/>
    </xf>
    <xf numFmtId="0" fontId="18" fillId="0" borderId="162" xfId="0" applyFont="1" applyBorder="1" applyAlignment="1" applyProtection="1">
      <alignment horizontal="right" vertical="center" indent="1"/>
      <protection hidden="1"/>
    </xf>
    <xf numFmtId="0" fontId="18" fillId="19" borderId="181" xfId="0" applyFont="1" applyFill="1" applyBorder="1" applyAlignment="1" applyProtection="1">
      <alignment horizontal="right" vertical="center" indent="1"/>
      <protection hidden="1"/>
    </xf>
    <xf numFmtId="0" fontId="18" fillId="15" borderId="73" xfId="0" applyFont="1" applyFill="1" applyBorder="1" applyAlignment="1" applyProtection="1">
      <alignment horizontal="right" vertical="center" indent="1"/>
      <protection hidden="1"/>
    </xf>
    <xf numFmtId="0" fontId="18" fillId="6" borderId="73" xfId="0" applyFont="1" applyFill="1" applyBorder="1" applyAlignment="1" applyProtection="1">
      <alignment horizontal="right" vertical="center" indent="1"/>
      <protection hidden="1"/>
    </xf>
    <xf numFmtId="0" fontId="22" fillId="0" borderId="73" xfId="0" applyFont="1" applyBorder="1" applyAlignment="1" applyProtection="1">
      <alignment horizontal="right" vertical="center" indent="1"/>
      <protection hidden="1"/>
    </xf>
    <xf numFmtId="0" fontId="22" fillId="15" borderId="73" xfId="0" applyFont="1" applyFill="1" applyBorder="1" applyAlignment="1" applyProtection="1">
      <alignment horizontal="right" vertical="center" indent="1"/>
      <protection hidden="1"/>
    </xf>
    <xf numFmtId="0" fontId="22" fillId="0" borderId="10" xfId="0" applyFont="1" applyBorder="1" applyAlignment="1" applyProtection="1">
      <alignment horizontal="right" vertical="center" indent="1"/>
      <protection hidden="1"/>
    </xf>
    <xf numFmtId="0" fontId="22" fillId="0" borderId="3" xfId="0" applyFont="1" applyBorder="1" applyAlignment="1" applyProtection="1">
      <alignment horizontal="right" vertical="center" indent="1"/>
      <protection hidden="1"/>
    </xf>
    <xf numFmtId="0" fontId="22" fillId="21" borderId="73" xfId="0" applyFont="1" applyFill="1" applyBorder="1" applyAlignment="1" applyProtection="1">
      <alignment horizontal="right" vertical="center" indent="1"/>
      <protection hidden="1"/>
    </xf>
    <xf numFmtId="0" fontId="18" fillId="6" borderId="10" xfId="0" applyFont="1" applyFill="1" applyBorder="1" applyAlignment="1" applyProtection="1">
      <alignment horizontal="right" vertical="center" indent="1"/>
      <protection hidden="1"/>
    </xf>
    <xf numFmtId="0" fontId="22" fillId="19" borderId="181" xfId="0" applyFont="1" applyFill="1" applyBorder="1" applyAlignment="1" applyProtection="1">
      <alignment horizontal="right" vertical="center" indent="1"/>
      <protection hidden="1"/>
    </xf>
    <xf numFmtId="0" fontId="22" fillId="19" borderId="73" xfId="0" applyFont="1" applyFill="1" applyBorder="1" applyAlignment="1" applyProtection="1">
      <alignment horizontal="right" vertical="center" indent="1"/>
      <protection hidden="1"/>
    </xf>
    <xf numFmtId="0" fontId="21" fillId="2" borderId="247" xfId="0" applyFont="1" applyFill="1" applyBorder="1" applyAlignment="1" applyProtection="1">
      <alignment horizontal="center" vertical="center" wrapText="1"/>
      <protection hidden="1"/>
    </xf>
    <xf numFmtId="0" fontId="21" fillId="2" borderId="248" xfId="0" applyFont="1" applyFill="1" applyBorder="1" applyAlignment="1" applyProtection="1">
      <alignment horizontal="center" vertical="center" wrapText="1"/>
      <protection hidden="1"/>
    </xf>
    <xf numFmtId="169" fontId="18" fillId="22" borderId="247" xfId="1" applyNumberFormat="1" applyFont="1" applyFill="1" applyBorder="1" applyAlignment="1" applyProtection="1">
      <alignment horizontal="center" vertical="center"/>
      <protection locked="0"/>
    </xf>
    <xf numFmtId="181" fontId="21" fillId="2" borderId="247" xfId="0" applyNumberFormat="1" applyFont="1" applyFill="1" applyBorder="1" applyAlignment="1" applyProtection="1">
      <alignment horizontal="center" vertical="center" wrapText="1"/>
      <protection hidden="1"/>
    </xf>
    <xf numFmtId="181" fontId="18" fillId="21" borderId="36" xfId="1" applyNumberFormat="1" applyFont="1" applyFill="1" applyBorder="1" applyAlignment="1" applyProtection="1">
      <alignment horizontal="center" vertical="center"/>
      <protection hidden="1"/>
    </xf>
    <xf numFmtId="181" fontId="18" fillId="0" borderId="197" xfId="1" applyNumberFormat="1" applyFont="1" applyFill="1" applyBorder="1" applyAlignment="1" applyProtection="1">
      <alignment horizontal="center" vertical="center"/>
      <protection hidden="1"/>
    </xf>
    <xf numFmtId="181" fontId="18" fillId="21" borderId="198" xfId="1" applyNumberFormat="1" applyFont="1" applyFill="1" applyBorder="1" applyAlignment="1" applyProtection="1">
      <alignment horizontal="center" vertical="center"/>
      <protection hidden="1"/>
    </xf>
    <xf numFmtId="181" fontId="18" fillId="0" borderId="50" xfId="1" applyNumberFormat="1" applyFont="1" applyFill="1" applyBorder="1" applyAlignment="1" applyProtection="1">
      <alignment horizontal="center" vertical="center"/>
      <protection hidden="1"/>
    </xf>
    <xf numFmtId="181" fontId="18" fillId="21" borderId="197" xfId="1" applyNumberFormat="1" applyFont="1" applyFill="1" applyBorder="1" applyAlignment="1" applyProtection="1">
      <alignment horizontal="center" vertical="center"/>
      <protection hidden="1"/>
    </xf>
    <xf numFmtId="181" fontId="18" fillId="15" borderId="198" xfId="1" applyNumberFormat="1" applyFont="1" applyFill="1" applyBorder="1" applyAlignment="1" applyProtection="1">
      <alignment horizontal="center" vertical="center"/>
      <protection hidden="1"/>
    </xf>
    <xf numFmtId="181" fontId="18" fillId="15" borderId="197" xfId="1" applyNumberFormat="1" applyFont="1" applyFill="1" applyBorder="1" applyAlignment="1" applyProtection="1">
      <alignment horizontal="center" vertical="center"/>
      <protection hidden="1"/>
    </xf>
    <xf numFmtId="181" fontId="53" fillId="11" borderId="68" xfId="0" applyNumberFormat="1" applyFont="1" applyFill="1" applyBorder="1" applyAlignment="1" applyProtection="1">
      <alignment vertical="center" wrapText="1"/>
      <protection hidden="1"/>
    </xf>
    <xf numFmtId="181" fontId="18" fillId="15" borderId="0" xfId="1" applyNumberFormat="1" applyFont="1" applyFill="1" applyBorder="1" applyAlignment="1" applyProtection="1">
      <alignment horizontal="center" vertical="center"/>
      <protection hidden="1"/>
    </xf>
    <xf numFmtId="181" fontId="18" fillId="0" borderId="0" xfId="1" applyNumberFormat="1" applyFont="1" applyFill="1" applyBorder="1" applyAlignment="1" applyProtection="1">
      <alignment horizontal="center" vertical="center"/>
      <protection hidden="1"/>
    </xf>
    <xf numFmtId="181" fontId="18" fillId="15" borderId="7" xfId="1" applyNumberFormat="1" applyFont="1" applyFill="1" applyBorder="1" applyAlignment="1" applyProtection="1">
      <alignment horizontal="center" vertical="center"/>
      <protection hidden="1"/>
    </xf>
    <xf numFmtId="181" fontId="18" fillId="0" borderId="9" xfId="1" applyNumberFormat="1" applyFont="1" applyFill="1" applyBorder="1" applyAlignment="1" applyProtection="1">
      <alignment horizontal="center" vertical="center"/>
      <protection hidden="1"/>
    </xf>
    <xf numFmtId="181" fontId="18" fillId="0" borderId="111" xfId="1" applyNumberFormat="1" applyFont="1" applyFill="1" applyBorder="1" applyAlignment="1" applyProtection="1">
      <alignment horizontal="center" vertical="center"/>
      <protection hidden="1"/>
    </xf>
    <xf numFmtId="181" fontId="18" fillId="15" borderId="199" xfId="1" applyNumberFormat="1" applyFont="1" applyFill="1" applyBorder="1" applyAlignment="1" applyProtection="1">
      <alignment horizontal="center" vertical="center"/>
      <protection hidden="1"/>
    </xf>
    <xf numFmtId="181" fontId="18" fillId="0" borderId="200" xfId="1" applyNumberFormat="1" applyFont="1" applyFill="1" applyBorder="1" applyAlignment="1" applyProtection="1">
      <alignment horizontal="center" vertical="center"/>
      <protection hidden="1"/>
    </xf>
    <xf numFmtId="181" fontId="18" fillId="15" borderId="201" xfId="1" applyNumberFormat="1" applyFont="1" applyFill="1" applyBorder="1" applyAlignment="1" applyProtection="1">
      <alignment horizontal="center" vertical="center"/>
      <protection hidden="1"/>
    </xf>
    <xf numFmtId="181" fontId="18" fillId="0" borderId="1" xfId="1" applyNumberFormat="1" applyFont="1" applyFill="1" applyBorder="1" applyAlignment="1" applyProtection="1">
      <alignment horizontal="center" vertical="center"/>
      <protection hidden="1"/>
    </xf>
    <xf numFmtId="181" fontId="18" fillId="15" borderId="202" xfId="1" applyNumberFormat="1" applyFont="1" applyFill="1" applyBorder="1" applyAlignment="1" applyProtection="1">
      <alignment horizontal="center" vertical="center"/>
      <protection hidden="1"/>
    </xf>
    <xf numFmtId="181" fontId="53" fillId="11" borderId="157" xfId="0" applyNumberFormat="1" applyFont="1" applyFill="1" applyBorder="1" applyAlignment="1" applyProtection="1">
      <alignment vertical="center" wrapText="1"/>
      <protection hidden="1"/>
    </xf>
    <xf numFmtId="181" fontId="18" fillId="26" borderId="1" xfId="1" applyNumberFormat="1" applyFont="1" applyFill="1" applyBorder="1" applyAlignment="1" applyProtection="1">
      <alignment horizontal="center" vertical="center"/>
      <protection hidden="1"/>
    </xf>
    <xf numFmtId="181" fontId="18" fillId="6" borderId="198" xfId="1" applyNumberFormat="1" applyFont="1" applyFill="1" applyBorder="1" applyAlignment="1" applyProtection="1">
      <alignment horizontal="center" vertical="center"/>
      <protection hidden="1"/>
    </xf>
    <xf numFmtId="181" fontId="18" fillId="19" borderId="13" xfId="1" applyNumberFormat="1" applyFont="1" applyFill="1" applyBorder="1" applyAlignment="1" applyProtection="1">
      <alignment horizontal="center" vertical="center"/>
      <protection hidden="1"/>
    </xf>
    <xf numFmtId="181" fontId="18" fillId="0" borderId="11" xfId="1" applyNumberFormat="1" applyFont="1" applyFill="1" applyBorder="1" applyAlignment="1" applyProtection="1">
      <alignment horizontal="center" vertical="center"/>
      <protection hidden="1"/>
    </xf>
    <xf numFmtId="181" fontId="18" fillId="0" borderId="159" xfId="1" applyNumberFormat="1" applyFont="1" applyFill="1" applyBorder="1" applyAlignment="1" applyProtection="1">
      <alignment horizontal="center" vertical="center"/>
      <protection hidden="1"/>
    </xf>
    <xf numFmtId="181" fontId="18" fillId="19" borderId="17" xfId="1" applyNumberFormat="1" applyFont="1" applyFill="1" applyBorder="1" applyAlignment="1" applyProtection="1">
      <alignment horizontal="center" vertical="center"/>
      <protection hidden="1"/>
    </xf>
    <xf numFmtId="181" fontId="18" fillId="0" borderId="158" xfId="1" applyNumberFormat="1" applyFont="1" applyFill="1" applyBorder="1" applyAlignment="1" applyProtection="1">
      <alignment horizontal="center" vertical="center"/>
      <protection hidden="1"/>
    </xf>
    <xf numFmtId="181" fontId="18" fillId="19" borderId="4" xfId="1" applyNumberFormat="1" applyFont="1" applyFill="1" applyBorder="1" applyAlignment="1" applyProtection="1">
      <alignment horizontal="center" vertical="center"/>
      <protection hidden="1"/>
    </xf>
    <xf numFmtId="181" fontId="30" fillId="24" borderId="32" xfId="1" applyNumberFormat="1" applyFont="1" applyFill="1" applyBorder="1" applyAlignment="1" applyProtection="1">
      <alignment horizontal="center" vertical="center"/>
      <protection hidden="1"/>
    </xf>
    <xf numFmtId="181" fontId="24" fillId="17" borderId="32" xfId="1" applyNumberFormat="1" applyFont="1" applyFill="1" applyBorder="1" applyAlignment="1" applyProtection="1">
      <alignment horizontal="center" vertical="center"/>
      <protection hidden="1"/>
    </xf>
    <xf numFmtId="181" fontId="18" fillId="36" borderId="0" xfId="0" applyNumberFormat="1" applyFont="1" applyFill="1"/>
    <xf numFmtId="181" fontId="18" fillId="21" borderId="17" xfId="1" applyNumberFormat="1" applyFont="1" applyFill="1" applyBorder="1" applyAlignment="1" applyProtection="1">
      <alignment horizontal="center" vertical="center"/>
      <protection hidden="1"/>
    </xf>
    <xf numFmtId="181" fontId="18" fillId="21" borderId="159" xfId="1" applyNumberFormat="1" applyFont="1" applyFill="1" applyBorder="1" applyAlignment="1" applyProtection="1">
      <alignment horizontal="center" vertical="center"/>
      <protection hidden="1"/>
    </xf>
    <xf numFmtId="181" fontId="18" fillId="0" borderId="13" xfId="1" applyNumberFormat="1" applyFont="1" applyFill="1" applyBorder="1" applyAlignment="1" applyProtection="1">
      <alignment horizontal="center" vertical="center"/>
      <protection hidden="1"/>
    </xf>
    <xf numFmtId="181" fontId="18" fillId="21" borderId="158" xfId="1" applyNumberFormat="1" applyFont="1" applyFill="1" applyBorder="1" applyAlignment="1" applyProtection="1">
      <alignment horizontal="center" vertical="center"/>
      <protection hidden="1"/>
    </xf>
    <xf numFmtId="181" fontId="18" fillId="15" borderId="159" xfId="1" applyNumberFormat="1" applyFont="1" applyFill="1" applyBorder="1" applyAlignment="1" applyProtection="1">
      <alignment horizontal="center" vertical="center"/>
      <protection hidden="1"/>
    </xf>
    <xf numFmtId="181" fontId="18" fillId="15" borderId="158" xfId="1" applyNumberFormat="1" applyFont="1" applyFill="1" applyBorder="1" applyAlignment="1" applyProtection="1">
      <alignment horizontal="center" vertical="center"/>
      <protection hidden="1"/>
    </xf>
    <xf numFmtId="181" fontId="53" fillId="11" borderId="203" xfId="0" applyNumberFormat="1" applyFont="1" applyFill="1" applyBorder="1" applyAlignment="1" applyProtection="1">
      <alignment vertical="center" wrapText="1"/>
      <protection hidden="1"/>
    </xf>
    <xf numFmtId="181" fontId="18" fillId="15" borderId="17" xfId="1" applyNumberFormat="1" applyFont="1" applyFill="1" applyBorder="1" applyAlignment="1" applyProtection="1">
      <alignment horizontal="center" vertical="center"/>
      <protection hidden="1"/>
    </xf>
    <xf numFmtId="181" fontId="18" fillId="0" borderId="17" xfId="1" applyNumberFormat="1" applyFont="1" applyFill="1" applyBorder="1" applyAlignment="1" applyProtection="1">
      <alignment horizontal="center" vertical="center"/>
      <protection hidden="1"/>
    </xf>
    <xf numFmtId="181" fontId="18" fillId="0" borderId="49" xfId="1" applyNumberFormat="1" applyFont="1" applyFill="1" applyBorder="1" applyAlignment="1" applyProtection="1">
      <alignment horizontal="center" vertical="center"/>
      <protection hidden="1"/>
    </xf>
    <xf numFmtId="181" fontId="18" fillId="15" borderId="13" xfId="1" applyNumberFormat="1" applyFont="1" applyFill="1" applyBorder="1" applyAlignment="1" applyProtection="1">
      <alignment horizontal="center" vertical="center"/>
      <protection hidden="1"/>
    </xf>
    <xf numFmtId="181" fontId="18" fillId="15" borderId="11" xfId="1" applyNumberFormat="1" applyFont="1" applyFill="1" applyBorder="1" applyAlignment="1" applyProtection="1">
      <alignment horizontal="center" vertical="center"/>
      <protection hidden="1"/>
    </xf>
    <xf numFmtId="181" fontId="53" fillId="11" borderId="158" xfId="0" applyNumberFormat="1" applyFont="1" applyFill="1" applyBorder="1" applyAlignment="1" applyProtection="1">
      <alignment vertical="center" wrapText="1"/>
      <protection hidden="1"/>
    </xf>
    <xf numFmtId="181" fontId="18" fillId="26" borderId="13" xfId="1" applyNumberFormat="1" applyFont="1" applyFill="1" applyBorder="1" applyAlignment="1" applyProtection="1">
      <alignment horizontal="center" vertical="center"/>
      <protection hidden="1"/>
    </xf>
    <xf numFmtId="181" fontId="18" fillId="6" borderId="159" xfId="1" applyNumberFormat="1" applyFont="1" applyFill="1" applyBorder="1" applyAlignment="1" applyProtection="1">
      <alignment horizontal="center" vertical="center"/>
      <protection hidden="1"/>
    </xf>
    <xf numFmtId="181" fontId="18" fillId="19" borderId="49" xfId="1" applyNumberFormat="1" applyFont="1" applyFill="1" applyBorder="1" applyAlignment="1" applyProtection="1">
      <alignment horizontal="center" vertical="center"/>
      <protection hidden="1"/>
    </xf>
    <xf numFmtId="181" fontId="18" fillId="21" borderId="73" xfId="1" applyNumberFormat="1" applyFont="1" applyFill="1" applyBorder="1" applyAlignment="1" applyProtection="1">
      <alignment horizontal="center" vertical="center"/>
      <protection hidden="1"/>
    </xf>
    <xf numFmtId="181" fontId="18" fillId="6" borderId="53" xfId="1" applyNumberFormat="1" applyFont="1" applyFill="1" applyBorder="1" applyAlignment="1" applyProtection="1">
      <alignment horizontal="center" vertical="center"/>
      <protection hidden="1"/>
    </xf>
    <xf numFmtId="181" fontId="18" fillId="21" borderId="53" xfId="1" applyNumberFormat="1" applyFont="1" applyFill="1" applyBorder="1" applyAlignment="1" applyProtection="1">
      <alignment horizontal="center" vertical="center"/>
      <protection hidden="1"/>
    </xf>
    <xf numFmtId="181" fontId="18" fillId="19" borderId="79" xfId="1" applyNumberFormat="1" applyFont="1" applyFill="1" applyBorder="1" applyAlignment="1" applyProtection="1">
      <alignment horizontal="center" vertical="center"/>
      <protection hidden="1"/>
    </xf>
    <xf numFmtId="181" fontId="18" fillId="0" borderId="73" xfId="1" applyNumberFormat="1" applyFont="1" applyFill="1" applyBorder="1" applyAlignment="1" applyProtection="1">
      <alignment horizontal="center" vertical="center"/>
      <protection hidden="1"/>
    </xf>
    <xf numFmtId="181" fontId="18" fillId="19" borderId="80" xfId="1" applyNumberFormat="1" applyFont="1" applyFill="1" applyBorder="1" applyAlignment="1" applyProtection="1">
      <alignment horizontal="center" vertical="center"/>
      <protection hidden="1"/>
    </xf>
    <xf numFmtId="181" fontId="18" fillId="0" borderId="6" xfId="1" applyNumberFormat="1" applyFont="1" applyFill="1" applyBorder="1" applyAlignment="1" applyProtection="1">
      <alignment horizontal="center" vertical="center"/>
      <protection hidden="1"/>
    </xf>
    <xf numFmtId="181" fontId="18" fillId="21" borderId="10" xfId="1" applyNumberFormat="1" applyFont="1" applyFill="1" applyBorder="1" applyAlignment="1" applyProtection="1">
      <alignment horizontal="center" vertical="center"/>
      <protection hidden="1"/>
    </xf>
    <xf numFmtId="181" fontId="18" fillId="15" borderId="73" xfId="1" applyNumberFormat="1" applyFont="1" applyFill="1" applyBorder="1" applyAlignment="1" applyProtection="1">
      <alignment horizontal="center" vertical="center"/>
      <protection hidden="1"/>
    </xf>
    <xf numFmtId="181" fontId="93" fillId="0" borderId="73" xfId="1" applyNumberFormat="1" applyFont="1" applyFill="1" applyBorder="1" applyAlignment="1" applyProtection="1">
      <alignment horizontal="center" vertical="center"/>
      <protection hidden="1"/>
    </xf>
    <xf numFmtId="181" fontId="93" fillId="15" borderId="73" xfId="1" applyNumberFormat="1" applyFont="1" applyFill="1" applyBorder="1" applyAlignment="1" applyProtection="1">
      <alignment horizontal="center" vertical="center"/>
      <protection hidden="1"/>
    </xf>
    <xf numFmtId="181" fontId="18" fillId="0" borderId="10" xfId="1" applyNumberFormat="1" applyFont="1" applyFill="1" applyBorder="1" applyAlignment="1" applyProtection="1">
      <alignment horizontal="center" vertical="center"/>
      <protection hidden="1"/>
    </xf>
    <xf numFmtId="181" fontId="18" fillId="21" borderId="3" xfId="1" applyNumberFormat="1" applyFont="1" applyFill="1" applyBorder="1" applyAlignment="1" applyProtection="1">
      <alignment horizontal="center" vertical="center"/>
      <protection hidden="1"/>
    </xf>
    <xf numFmtId="181" fontId="18" fillId="0" borderId="3" xfId="1" applyNumberFormat="1" applyFont="1" applyFill="1" applyBorder="1" applyAlignment="1" applyProtection="1">
      <alignment horizontal="center" vertical="center"/>
      <protection hidden="1"/>
    </xf>
    <xf numFmtId="181" fontId="18" fillId="19" borderId="73" xfId="1" applyNumberFormat="1" applyFont="1" applyFill="1" applyBorder="1" applyAlignment="1" applyProtection="1">
      <alignment horizontal="center" vertical="center"/>
      <protection hidden="1"/>
    </xf>
    <xf numFmtId="181" fontId="18" fillId="26" borderId="73" xfId="1" applyNumberFormat="1" applyFont="1" applyFill="1" applyBorder="1" applyAlignment="1" applyProtection="1">
      <alignment horizontal="center" vertical="center"/>
      <protection hidden="1"/>
    </xf>
    <xf numFmtId="181" fontId="18" fillId="26" borderId="10" xfId="1" applyNumberFormat="1" applyFont="1" applyFill="1" applyBorder="1" applyAlignment="1" applyProtection="1">
      <alignment horizontal="center" vertical="center"/>
      <protection hidden="1"/>
    </xf>
    <xf numFmtId="181" fontId="53" fillId="11" borderId="0" xfId="0" applyNumberFormat="1" applyFont="1" applyFill="1" applyAlignment="1" applyProtection="1">
      <alignment horizontal="left" vertical="center" wrapText="1"/>
      <protection hidden="1"/>
    </xf>
    <xf numFmtId="181" fontId="18" fillId="26" borderId="2" xfId="1" applyNumberFormat="1" applyFont="1" applyFill="1" applyBorder="1" applyAlignment="1" applyProtection="1">
      <alignment horizontal="center" vertical="center"/>
      <protection hidden="1"/>
    </xf>
    <xf numFmtId="181" fontId="18" fillId="0" borderId="2" xfId="1" applyNumberFormat="1" applyFont="1" applyFill="1" applyBorder="1" applyAlignment="1" applyProtection="1">
      <alignment horizontal="center" vertical="center"/>
      <protection hidden="1"/>
    </xf>
    <xf numFmtId="181" fontId="18" fillId="21" borderId="157" xfId="1" applyNumberFormat="1" applyFont="1" applyFill="1" applyBorder="1" applyAlignment="1" applyProtection="1">
      <alignment horizontal="center" vertical="center"/>
      <protection hidden="1"/>
    </xf>
    <xf numFmtId="181" fontId="18" fillId="0" borderId="157" xfId="1" applyNumberFormat="1" applyFont="1" applyFill="1" applyBorder="1" applyAlignment="1" applyProtection="1">
      <alignment horizontal="center" vertical="center"/>
      <protection hidden="1"/>
    </xf>
    <xf numFmtId="181" fontId="18" fillId="6" borderId="228" xfId="1" applyNumberFormat="1" applyFont="1" applyFill="1" applyBorder="1" applyAlignment="1" applyProtection="1">
      <alignment horizontal="center" vertical="center"/>
      <protection hidden="1"/>
    </xf>
    <xf numFmtId="181" fontId="18" fillId="19" borderId="181" xfId="1" applyNumberFormat="1" applyFont="1" applyFill="1" applyBorder="1" applyAlignment="1" applyProtection="1">
      <alignment horizontal="center" vertical="center"/>
      <protection hidden="1"/>
    </xf>
    <xf numFmtId="181" fontId="18" fillId="0" borderId="190" xfId="1" applyNumberFormat="1" applyFont="1" applyFill="1" applyBorder="1" applyAlignment="1" applyProtection="1">
      <alignment horizontal="center" vertical="center"/>
      <protection hidden="1"/>
    </xf>
    <xf numFmtId="181" fontId="18" fillId="19" borderId="6" xfId="1" applyNumberFormat="1" applyFont="1" applyFill="1" applyBorder="1" applyAlignment="1" applyProtection="1">
      <alignment horizontal="center" vertical="center"/>
      <protection hidden="1"/>
    </xf>
    <xf numFmtId="181" fontId="18" fillId="19" borderId="177" xfId="1" applyNumberFormat="1" applyFont="1" applyFill="1" applyBorder="1" applyAlignment="1" applyProtection="1">
      <alignment horizontal="center" vertical="center"/>
      <protection hidden="1"/>
    </xf>
    <xf numFmtId="181" fontId="18" fillId="19" borderId="11" xfId="1" applyNumberFormat="1" applyFont="1" applyFill="1" applyBorder="1" applyAlignment="1" applyProtection="1">
      <alignment horizontal="center" vertical="center"/>
      <protection hidden="1"/>
    </xf>
    <xf numFmtId="181" fontId="93" fillId="0" borderId="17" xfId="1" applyNumberFormat="1" applyFont="1" applyFill="1" applyBorder="1" applyAlignment="1" applyProtection="1">
      <alignment horizontal="center" vertical="center"/>
      <protection hidden="1"/>
    </xf>
    <xf numFmtId="181" fontId="93" fillId="15" borderId="17" xfId="1" applyNumberFormat="1" applyFont="1" applyFill="1" applyBorder="1" applyAlignment="1" applyProtection="1">
      <alignment horizontal="center" vertical="center"/>
      <protection hidden="1"/>
    </xf>
    <xf numFmtId="181" fontId="53" fillId="11" borderId="73" xfId="0" applyNumberFormat="1" applyFont="1" applyFill="1" applyBorder="1" applyAlignment="1" applyProtection="1">
      <alignment horizontal="left" vertical="center" wrapText="1"/>
      <protection hidden="1"/>
    </xf>
    <xf numFmtId="181" fontId="18" fillId="19" borderId="3" xfId="1" applyNumberFormat="1" applyFont="1" applyFill="1" applyBorder="1" applyAlignment="1" applyProtection="1">
      <alignment horizontal="center" vertical="center"/>
      <protection hidden="1"/>
    </xf>
    <xf numFmtId="181" fontId="6" fillId="32" borderId="11" xfId="4" applyNumberFormat="1" applyFont="1" applyFill="1" applyBorder="1" applyAlignment="1" applyProtection="1">
      <alignment horizontal="center" vertical="center" wrapText="1"/>
      <protection hidden="1"/>
    </xf>
    <xf numFmtId="182" fontId="18" fillId="22" borderId="247" xfId="1" applyNumberFormat="1" applyFont="1" applyFill="1" applyBorder="1" applyAlignment="1" applyProtection="1">
      <alignment horizontal="center" vertical="center"/>
      <protection locked="0"/>
    </xf>
    <xf numFmtId="1" fontId="27" fillId="4" borderId="13" xfId="0" applyNumberFormat="1" applyFont="1" applyFill="1" applyBorder="1" applyAlignment="1" applyProtection="1">
      <alignment horizontal="center" vertical="center"/>
      <protection locked="0"/>
    </xf>
    <xf numFmtId="183" fontId="30" fillId="24" borderId="32" xfId="1" applyNumberFormat="1" applyFont="1" applyFill="1" applyBorder="1" applyAlignment="1" applyProtection="1">
      <alignment horizontal="center" vertical="center"/>
      <protection hidden="1"/>
    </xf>
    <xf numFmtId="0" fontId="0" fillId="44" borderId="0" xfId="0" applyFill="1"/>
    <xf numFmtId="0" fontId="0" fillId="43" borderId="0" xfId="0" applyFill="1"/>
    <xf numFmtId="182" fontId="24" fillId="17" borderId="32" xfId="1" applyNumberFormat="1" applyFont="1" applyFill="1" applyBorder="1" applyAlignment="1" applyProtection="1">
      <alignment horizontal="center" vertical="center"/>
      <protection hidden="1"/>
    </xf>
    <xf numFmtId="184" fontId="27" fillId="3" borderId="11" xfId="0" applyNumberFormat="1" applyFont="1" applyFill="1" applyBorder="1" applyAlignment="1" applyProtection="1">
      <alignment horizontal="center" vertical="center"/>
      <protection locked="0"/>
    </xf>
    <xf numFmtId="184" fontId="27" fillId="4" borderId="13" xfId="0" applyNumberFormat="1" applyFont="1" applyFill="1" applyBorder="1" applyAlignment="1" applyProtection="1">
      <alignment horizontal="center" vertical="center"/>
      <protection locked="0"/>
    </xf>
    <xf numFmtId="184" fontId="27" fillId="4" borderId="17" xfId="0" applyNumberFormat="1" applyFont="1" applyFill="1" applyBorder="1" applyAlignment="1" applyProtection="1">
      <alignment horizontal="center" vertical="center"/>
      <protection locked="0"/>
    </xf>
    <xf numFmtId="184" fontId="27" fillId="3" borderId="17" xfId="0" applyNumberFormat="1" applyFont="1" applyFill="1" applyBorder="1" applyAlignment="1" applyProtection="1">
      <alignment horizontal="center" vertical="center"/>
      <protection locked="0"/>
    </xf>
    <xf numFmtId="184" fontId="27" fillId="20" borderId="11" xfId="0" applyNumberFormat="1" applyFont="1" applyFill="1" applyBorder="1" applyAlignment="1" applyProtection="1">
      <alignment horizontal="center" vertical="center"/>
      <protection locked="0"/>
    </xf>
    <xf numFmtId="184" fontId="27" fillId="25" borderId="13" xfId="0" applyNumberFormat="1" applyFont="1" applyFill="1" applyBorder="1" applyAlignment="1" applyProtection="1">
      <alignment horizontal="center" vertical="center"/>
      <protection locked="0"/>
    </xf>
    <xf numFmtId="184" fontId="27" fillId="20" borderId="17" xfId="0" applyNumberFormat="1" applyFont="1" applyFill="1" applyBorder="1" applyAlignment="1" applyProtection="1">
      <alignment horizontal="center" vertical="center"/>
      <protection locked="0"/>
    </xf>
    <xf numFmtId="184" fontId="27" fillId="25" borderId="49" xfId="0" applyNumberFormat="1" applyFont="1" applyFill="1" applyBorder="1" applyAlignment="1" applyProtection="1">
      <alignment horizontal="center" vertical="center"/>
      <protection locked="0"/>
    </xf>
    <xf numFmtId="184" fontId="27" fillId="20" borderId="10" xfId="0" applyNumberFormat="1" applyFont="1" applyFill="1" applyBorder="1" applyAlignment="1" applyProtection="1">
      <alignment horizontal="center" vertical="center"/>
      <protection locked="0"/>
    </xf>
    <xf numFmtId="184" fontId="27" fillId="4" borderId="73" xfId="0" applyNumberFormat="1" applyFont="1" applyFill="1" applyBorder="1" applyAlignment="1" applyProtection="1">
      <alignment horizontal="center" vertical="center"/>
      <protection locked="0"/>
    </xf>
    <xf numFmtId="184" fontId="27" fillId="3" borderId="73" xfId="0" applyNumberFormat="1" applyFont="1" applyFill="1" applyBorder="1" applyAlignment="1" applyProtection="1">
      <alignment horizontal="center" vertical="center"/>
      <protection locked="0"/>
    </xf>
    <xf numFmtId="184" fontId="53" fillId="11" borderId="0" xfId="0" applyNumberFormat="1" applyFont="1" applyFill="1" applyAlignment="1" applyProtection="1">
      <alignment horizontal="left" vertical="center" wrapText="1"/>
      <protection hidden="1"/>
    </xf>
    <xf numFmtId="184" fontId="27" fillId="4" borderId="3" xfId="0" applyNumberFormat="1" applyFont="1" applyFill="1" applyBorder="1" applyAlignment="1" applyProtection="1">
      <alignment horizontal="center" vertical="center"/>
      <protection locked="0"/>
    </xf>
    <xf numFmtId="184" fontId="27" fillId="3" borderId="3" xfId="0" applyNumberFormat="1" applyFont="1" applyFill="1" applyBorder="1" applyAlignment="1" applyProtection="1">
      <alignment horizontal="center" vertical="center"/>
      <protection locked="0"/>
    </xf>
    <xf numFmtId="184" fontId="27" fillId="3" borderId="10" xfId="0" applyNumberFormat="1" applyFont="1" applyFill="1" applyBorder="1" applyAlignment="1" applyProtection="1">
      <alignment horizontal="center" vertical="center"/>
      <protection locked="0"/>
    </xf>
    <xf numFmtId="184" fontId="27" fillId="25" borderId="73" xfId="0" applyNumberFormat="1" applyFont="1" applyFill="1" applyBorder="1" applyAlignment="1" applyProtection="1">
      <alignment horizontal="center" vertical="center"/>
      <protection locked="0"/>
    </xf>
    <xf numFmtId="184" fontId="27" fillId="25" borderId="6" xfId="0" applyNumberFormat="1" applyFont="1" applyFill="1" applyBorder="1" applyAlignment="1" applyProtection="1">
      <alignment horizontal="center" vertical="center"/>
      <protection locked="0"/>
    </xf>
    <xf numFmtId="185" fontId="27" fillId="20" borderId="10" xfId="0" applyNumberFormat="1" applyFont="1" applyFill="1" applyBorder="1" applyAlignment="1" applyProtection="1">
      <alignment horizontal="center" vertical="center"/>
      <protection locked="0"/>
    </xf>
    <xf numFmtId="185" fontId="27" fillId="4" borderId="73" xfId="0" applyNumberFormat="1" applyFont="1" applyFill="1" applyBorder="1" applyAlignment="1" applyProtection="1">
      <alignment horizontal="center" vertical="center"/>
      <protection locked="0"/>
    </xf>
    <xf numFmtId="185" fontId="27" fillId="3" borderId="73" xfId="0" applyNumberFormat="1" applyFont="1" applyFill="1" applyBorder="1" applyAlignment="1" applyProtection="1">
      <alignment horizontal="center" vertical="center"/>
      <protection locked="0"/>
    </xf>
    <xf numFmtId="185" fontId="27" fillId="4" borderId="10" xfId="0" applyNumberFormat="1" applyFont="1" applyFill="1" applyBorder="1" applyAlignment="1" applyProtection="1">
      <alignment horizontal="center" vertical="center"/>
      <protection locked="0"/>
    </xf>
    <xf numFmtId="1" fontId="27" fillId="39" borderId="34" xfId="0" applyNumberFormat="1" applyFont="1" applyFill="1" applyBorder="1" applyAlignment="1" applyProtection="1">
      <alignment horizontal="center" vertical="center"/>
      <protection locked="0"/>
    </xf>
    <xf numFmtId="0" fontId="51" fillId="13" borderId="156" xfId="0" applyFont="1" applyFill="1" applyBorder="1" applyAlignment="1">
      <alignment horizontal="center" vertical="center" wrapText="1" readingOrder="1"/>
    </xf>
    <xf numFmtId="0" fontId="51" fillId="13" borderId="157" xfId="0" applyFont="1" applyFill="1" applyBorder="1" applyAlignment="1">
      <alignment horizontal="center" vertical="center" wrapText="1" readingOrder="1"/>
    </xf>
    <xf numFmtId="0" fontId="51" fillId="13" borderId="7" xfId="0" applyFont="1" applyFill="1" applyBorder="1" applyAlignment="1">
      <alignment horizontal="center" vertical="center" wrapText="1" readingOrder="1"/>
    </xf>
    <xf numFmtId="0" fontId="51" fillId="13" borderId="0" xfId="0" applyFont="1" applyFill="1" applyAlignment="1">
      <alignment horizontal="center" vertical="center" wrapText="1" readingOrder="1"/>
    </xf>
    <xf numFmtId="0" fontId="51" fillId="13" borderId="107" xfId="0" applyFont="1" applyFill="1" applyBorder="1" applyAlignment="1">
      <alignment horizontal="center" vertical="center" wrapText="1" readingOrder="1"/>
    </xf>
    <xf numFmtId="0" fontId="51" fillId="13" borderId="77" xfId="0" applyFont="1" applyFill="1" applyBorder="1" applyAlignment="1">
      <alignment horizontal="center" vertical="center" wrapText="1" readingOrder="1"/>
    </xf>
    <xf numFmtId="0" fontId="51" fillId="13" borderId="108" xfId="0" applyFont="1" applyFill="1" applyBorder="1" applyAlignment="1">
      <alignment horizontal="center" vertical="center" wrapText="1" readingOrder="1"/>
    </xf>
    <xf numFmtId="0" fontId="51" fillId="13" borderId="70" xfId="0" applyFont="1" applyFill="1" applyBorder="1" applyAlignment="1">
      <alignment horizontal="center" vertical="center" wrapText="1" readingOrder="1"/>
    </xf>
    <xf numFmtId="0" fontId="70" fillId="13" borderId="0" xfId="0" applyFont="1" applyFill="1" applyAlignment="1" applyProtection="1">
      <alignment horizontal="left" wrapText="1"/>
      <protection hidden="1"/>
    </xf>
    <xf numFmtId="0" fontId="18" fillId="0" borderId="13" xfId="0" applyFont="1" applyBorder="1" applyAlignment="1" applyProtection="1">
      <alignment horizontal="center" vertical="center" wrapText="1"/>
      <protection hidden="1"/>
    </xf>
    <xf numFmtId="0" fontId="18" fillId="0" borderId="17" xfId="0" applyFont="1" applyBorder="1" applyAlignment="1" applyProtection="1">
      <alignment horizontal="center" vertical="center" wrapText="1"/>
      <protection hidden="1"/>
    </xf>
    <xf numFmtId="0" fontId="18" fillId="0" borderId="11" xfId="0" applyFont="1" applyBorder="1" applyAlignment="1" applyProtection="1">
      <alignment horizontal="center" vertical="center" wrapText="1"/>
      <protection hidden="1"/>
    </xf>
    <xf numFmtId="0" fontId="98" fillId="11" borderId="178" xfId="6" applyFont="1" applyFill="1" applyBorder="1" applyAlignment="1" applyProtection="1">
      <alignment horizontal="center" vertical="center"/>
      <protection hidden="1"/>
    </xf>
    <xf numFmtId="0" fontId="98" fillId="11" borderId="179" xfId="6" applyFont="1" applyFill="1" applyBorder="1" applyAlignment="1" applyProtection="1">
      <alignment horizontal="center" vertical="center"/>
      <protection hidden="1"/>
    </xf>
    <xf numFmtId="0" fontId="98" fillId="11" borderId="248" xfId="6" applyFont="1" applyFill="1" applyBorder="1" applyAlignment="1" applyProtection="1">
      <alignment horizontal="center" vertical="center"/>
      <protection hidden="1"/>
    </xf>
    <xf numFmtId="0" fontId="53" fillId="11" borderId="105" xfId="0" applyFont="1" applyFill="1" applyBorder="1" applyAlignment="1" applyProtection="1">
      <alignment horizontal="left" vertical="center" wrapText="1" indent="1"/>
      <protection hidden="1"/>
    </xf>
    <xf numFmtId="0" fontId="53" fillId="11" borderId="68" xfId="0" applyFont="1" applyFill="1" applyBorder="1" applyAlignment="1" applyProtection="1">
      <alignment horizontal="left" vertical="center" wrapText="1" indent="1"/>
      <protection hidden="1"/>
    </xf>
    <xf numFmtId="0" fontId="53" fillId="11" borderId="0" xfId="0" applyFont="1" applyFill="1" applyAlignment="1" applyProtection="1">
      <alignment horizontal="left" vertical="center" wrapText="1" indent="1"/>
      <protection hidden="1"/>
    </xf>
    <xf numFmtId="0" fontId="70" fillId="11" borderId="157" xfId="0" applyFont="1" applyFill="1" applyBorder="1" applyAlignment="1" applyProtection="1">
      <alignment horizontal="left" vertical="center"/>
      <protection hidden="1"/>
    </xf>
    <xf numFmtId="0" fontId="70" fillId="11" borderId="93" xfId="0" applyFont="1" applyFill="1" applyBorder="1" applyAlignment="1" applyProtection="1">
      <alignment horizontal="left" vertical="center"/>
      <protection hidden="1"/>
    </xf>
    <xf numFmtId="0" fontId="62" fillId="11" borderId="174" xfId="0" applyFont="1" applyFill="1" applyBorder="1" applyAlignment="1" applyProtection="1">
      <alignment horizontal="left" vertical="center"/>
      <protection hidden="1"/>
    </xf>
    <xf numFmtId="0" fontId="62" fillId="11" borderId="204" xfId="0" applyFont="1" applyFill="1" applyBorder="1" applyAlignment="1" applyProtection="1">
      <alignment horizontal="left" vertical="center"/>
      <protection hidden="1"/>
    </xf>
    <xf numFmtId="0" fontId="52" fillId="11" borderId="178" xfId="0" applyFont="1" applyFill="1" applyBorder="1" applyAlignment="1" applyProtection="1">
      <alignment horizontal="center" vertical="center" wrapText="1"/>
      <protection hidden="1"/>
    </xf>
    <xf numFmtId="0" fontId="52" fillId="11" borderId="179" xfId="0" applyFont="1" applyFill="1" applyBorder="1" applyAlignment="1" applyProtection="1">
      <alignment horizontal="center" vertical="center" wrapText="1"/>
      <protection hidden="1"/>
    </xf>
    <xf numFmtId="0" fontId="52" fillId="11" borderId="248" xfId="0" applyFont="1" applyFill="1" applyBorder="1" applyAlignment="1" applyProtection="1">
      <alignment horizontal="center" vertical="center" wrapText="1"/>
      <protection hidden="1"/>
    </xf>
    <xf numFmtId="0" fontId="18" fillId="19" borderId="13" xfId="0" applyFont="1" applyFill="1" applyBorder="1" applyAlignment="1" applyProtection="1">
      <alignment horizontal="center" vertical="center" wrapText="1"/>
      <protection hidden="1"/>
    </xf>
    <xf numFmtId="0" fontId="18" fillId="19" borderId="17" xfId="0" applyFont="1" applyFill="1" applyBorder="1" applyAlignment="1" applyProtection="1">
      <alignment horizontal="center" vertical="center" wrapText="1"/>
      <protection hidden="1"/>
    </xf>
    <xf numFmtId="0" fontId="18" fillId="19" borderId="11" xfId="0" applyFont="1" applyFill="1" applyBorder="1" applyAlignment="1" applyProtection="1">
      <alignment horizontal="center" vertical="center" wrapText="1"/>
      <protection hidden="1"/>
    </xf>
    <xf numFmtId="0" fontId="18" fillId="15" borderId="17" xfId="0" applyFont="1" applyFill="1" applyBorder="1" applyAlignment="1" applyProtection="1">
      <alignment horizontal="center" vertical="center" wrapText="1"/>
      <protection hidden="1"/>
    </xf>
    <xf numFmtId="0" fontId="51" fillId="13" borderId="110" xfId="0" applyFont="1" applyFill="1" applyBorder="1" applyAlignment="1">
      <alignment horizontal="center" vertical="center" wrapText="1" readingOrder="1"/>
    </xf>
    <xf numFmtId="0" fontId="51" fillId="13" borderId="230" xfId="0" applyFont="1" applyFill="1" applyBorder="1" applyAlignment="1">
      <alignment horizontal="center" vertical="center" wrapText="1" readingOrder="1"/>
    </xf>
    <xf numFmtId="0" fontId="70" fillId="13" borderId="0" xfId="0" applyFont="1" applyFill="1" applyAlignment="1" applyProtection="1">
      <alignment horizontal="left" vertical="top" wrapText="1"/>
      <protection hidden="1"/>
    </xf>
    <xf numFmtId="0" fontId="70" fillId="13" borderId="73" xfId="0" applyFont="1" applyFill="1" applyBorder="1" applyAlignment="1" applyProtection="1">
      <alignment horizontal="left" vertical="top" wrapText="1"/>
      <protection hidden="1"/>
    </xf>
    <xf numFmtId="0" fontId="69" fillId="13" borderId="8" xfId="0" applyFont="1" applyFill="1" applyBorder="1" applyAlignment="1" applyProtection="1">
      <alignment horizontal="left" vertical="center" indent="4"/>
      <protection hidden="1"/>
    </xf>
    <xf numFmtId="0" fontId="69" fillId="13" borderId="9" xfId="0" applyFont="1" applyFill="1" applyBorder="1" applyAlignment="1" applyProtection="1">
      <alignment horizontal="left" vertical="center" indent="4"/>
      <protection hidden="1"/>
    </xf>
    <xf numFmtId="0" fontId="51" fillId="13" borderId="109" xfId="0" applyFont="1" applyFill="1" applyBorder="1" applyAlignment="1">
      <alignment horizontal="center" vertical="center" wrapText="1" readingOrder="1"/>
    </xf>
    <xf numFmtId="0" fontId="51" fillId="13" borderId="229" xfId="0" applyFont="1" applyFill="1" applyBorder="1" applyAlignment="1">
      <alignment horizontal="center" vertical="center" wrapText="1" readingOrder="1"/>
    </xf>
    <xf numFmtId="0" fontId="31" fillId="13" borderId="108" xfId="0" applyFont="1" applyFill="1" applyBorder="1" applyAlignment="1">
      <alignment horizontal="center" vertical="center" wrapText="1" readingOrder="1"/>
    </xf>
    <xf numFmtId="0" fontId="31" fillId="13" borderId="7" xfId="0" applyFont="1" applyFill="1" applyBorder="1" applyAlignment="1">
      <alignment horizontal="center" vertical="center" wrapText="1" readingOrder="1"/>
    </xf>
    <xf numFmtId="0" fontId="31" fillId="13" borderId="107" xfId="0" applyFont="1" applyFill="1" applyBorder="1" applyAlignment="1">
      <alignment horizontal="center" vertical="center" wrapText="1" readingOrder="1"/>
    </xf>
    <xf numFmtId="0" fontId="18" fillId="6" borderId="13" xfId="0" applyFont="1" applyFill="1" applyBorder="1" applyAlignment="1" applyProtection="1">
      <alignment horizontal="center" vertical="center" wrapText="1"/>
      <protection hidden="1"/>
    </xf>
    <xf numFmtId="0" fontId="18" fillId="6" borderId="17" xfId="0" applyFont="1" applyFill="1" applyBorder="1" applyAlignment="1" applyProtection="1">
      <alignment horizontal="center" vertical="center" wrapText="1"/>
      <protection hidden="1"/>
    </xf>
    <xf numFmtId="0" fontId="18" fillId="6" borderId="11" xfId="0" applyFont="1" applyFill="1" applyBorder="1" applyAlignment="1" applyProtection="1">
      <alignment horizontal="center" vertical="center" wrapText="1"/>
      <protection hidden="1"/>
    </xf>
    <xf numFmtId="0" fontId="61" fillId="11" borderId="178" xfId="0" applyFont="1" applyFill="1" applyBorder="1" applyAlignment="1" applyProtection="1">
      <alignment horizontal="center" vertical="center" wrapText="1"/>
      <protection hidden="1"/>
    </xf>
    <xf numFmtId="0" fontId="61" fillId="11" borderId="179" xfId="0" applyFont="1" applyFill="1" applyBorder="1" applyAlignment="1" applyProtection="1">
      <alignment horizontal="center" vertical="center" wrapText="1"/>
      <protection hidden="1"/>
    </xf>
    <xf numFmtId="0" fontId="61" fillId="11" borderId="248" xfId="0" applyFont="1" applyFill="1" applyBorder="1" applyAlignment="1" applyProtection="1">
      <alignment horizontal="center" vertical="center" wrapText="1"/>
      <protection hidden="1"/>
    </xf>
    <xf numFmtId="0" fontId="18" fillId="15" borderId="13" xfId="0" applyFont="1" applyFill="1" applyBorder="1" applyAlignment="1" applyProtection="1">
      <alignment horizontal="center" vertical="center" wrapText="1"/>
      <protection hidden="1"/>
    </xf>
    <xf numFmtId="0" fontId="18" fillId="15" borderId="11" xfId="0" applyFont="1" applyFill="1" applyBorder="1" applyAlignment="1" applyProtection="1">
      <alignment horizontal="center" vertical="center" wrapText="1"/>
      <protection hidden="1"/>
    </xf>
    <xf numFmtId="0" fontId="81" fillId="13" borderId="221" xfId="2" applyFont="1" applyFill="1" applyBorder="1" applyAlignment="1">
      <alignment horizontal="center" vertical="center" wrapText="1"/>
    </xf>
    <xf numFmtId="0" fontId="81" fillId="13" borderId="222" xfId="2" applyFont="1" applyFill="1" applyBorder="1" applyAlignment="1">
      <alignment horizontal="center" vertical="center" wrapText="1"/>
    </xf>
    <xf numFmtId="0" fontId="31" fillId="13" borderId="131" xfId="0" applyFont="1" applyFill="1" applyBorder="1" applyAlignment="1">
      <alignment horizontal="center" vertical="center" wrapText="1" readingOrder="1"/>
    </xf>
    <xf numFmtId="0" fontId="31" fillId="13" borderId="70" xfId="0" applyFont="1" applyFill="1" applyBorder="1" applyAlignment="1">
      <alignment horizontal="center" vertical="center" wrapText="1" readingOrder="1"/>
    </xf>
    <xf numFmtId="0" fontId="31" fillId="13" borderId="172" xfId="0" applyFont="1" applyFill="1" applyBorder="1" applyAlignment="1">
      <alignment horizontal="center" vertical="center" wrapText="1" readingOrder="1"/>
    </xf>
    <xf numFmtId="0" fontId="31" fillId="13" borderId="0" xfId="0" applyFont="1" applyFill="1" applyAlignment="1">
      <alignment horizontal="center" vertical="center" wrapText="1" readingOrder="1"/>
    </xf>
    <xf numFmtId="0" fontId="52" fillId="11" borderId="70" xfId="0" applyFont="1" applyFill="1" applyBorder="1" applyAlignment="1" applyProtection="1">
      <alignment horizontal="center" vertical="center" wrapText="1"/>
      <protection hidden="1"/>
    </xf>
    <xf numFmtId="0" fontId="52" fillId="11" borderId="0" xfId="0" applyFont="1" applyFill="1" applyAlignment="1" applyProtection="1">
      <alignment horizontal="center" vertical="center" wrapText="1"/>
      <protection hidden="1"/>
    </xf>
    <xf numFmtId="0" fontId="52" fillId="11" borderId="77" xfId="0" applyFont="1" applyFill="1" applyBorder="1" applyAlignment="1" applyProtection="1">
      <alignment horizontal="center" vertical="center" wrapText="1"/>
      <protection hidden="1"/>
    </xf>
    <xf numFmtId="0" fontId="53" fillId="11" borderId="68" xfId="6" applyFont="1" applyFill="1" applyBorder="1" applyAlignment="1" applyProtection="1">
      <alignment horizontal="center" vertical="center"/>
      <protection hidden="1"/>
    </xf>
    <xf numFmtId="0" fontId="53" fillId="11" borderId="157" xfId="6" applyFont="1" applyFill="1" applyBorder="1" applyAlignment="1" applyProtection="1">
      <alignment horizontal="center" vertical="center"/>
      <protection hidden="1"/>
    </xf>
    <xf numFmtId="170" fontId="18" fillId="18" borderId="13" xfId="0" applyNumberFormat="1" applyFont="1" applyFill="1" applyBorder="1" applyAlignment="1" applyProtection="1">
      <alignment horizontal="center" vertical="center"/>
      <protection hidden="1"/>
    </xf>
    <xf numFmtId="170" fontId="18" fillId="18" borderId="17" xfId="0" applyNumberFormat="1" applyFont="1" applyFill="1" applyBorder="1" applyAlignment="1" applyProtection="1">
      <alignment horizontal="center" vertical="center"/>
      <protection hidden="1"/>
    </xf>
    <xf numFmtId="170" fontId="18" fillId="18" borderId="11" xfId="0" applyNumberFormat="1" applyFont="1" applyFill="1" applyBorder="1" applyAlignment="1" applyProtection="1">
      <alignment horizontal="center" vertical="center"/>
      <protection hidden="1"/>
    </xf>
    <xf numFmtId="0" fontId="81" fillId="13" borderId="170" xfId="2" applyFont="1" applyFill="1" applyBorder="1" applyAlignment="1">
      <alignment horizontal="center" vertical="center" wrapText="1"/>
    </xf>
    <xf numFmtId="0" fontId="81" fillId="13" borderId="171" xfId="2" applyFont="1" applyFill="1" applyBorder="1" applyAlignment="1">
      <alignment horizontal="center" vertical="center" wrapText="1"/>
    </xf>
    <xf numFmtId="0" fontId="52" fillId="11" borderId="178" xfId="0" applyFont="1" applyFill="1" applyBorder="1" applyAlignment="1" applyProtection="1">
      <alignment horizontal="center" vertical="center"/>
      <protection hidden="1"/>
    </xf>
    <xf numFmtId="0" fontId="52" fillId="11" borderId="248" xfId="0" applyFont="1" applyFill="1" applyBorder="1" applyAlignment="1" applyProtection="1">
      <alignment horizontal="center" vertical="center"/>
      <protection hidden="1"/>
    </xf>
    <xf numFmtId="0" fontId="22" fillId="0" borderId="13" xfId="5" applyFont="1" applyFill="1" applyBorder="1" applyAlignment="1" applyProtection="1">
      <alignment horizontal="center" vertical="center"/>
      <protection hidden="1"/>
    </xf>
    <xf numFmtId="0" fontId="22" fillId="0" borderId="11" xfId="5" applyFont="1" applyFill="1" applyBorder="1" applyAlignment="1" applyProtection="1">
      <alignment horizontal="center" vertical="center"/>
      <protection hidden="1"/>
    </xf>
    <xf numFmtId="0" fontId="31" fillId="13" borderId="132" xfId="0" applyFont="1" applyFill="1" applyBorder="1" applyAlignment="1">
      <alignment horizontal="center" vertical="center" wrapText="1" readingOrder="1"/>
    </xf>
    <xf numFmtId="0" fontId="22" fillId="21" borderId="13" xfId="5" applyFont="1" applyFill="1" applyBorder="1" applyAlignment="1" applyProtection="1">
      <alignment horizontal="center" vertical="center" wrapText="1"/>
      <protection hidden="1"/>
    </xf>
    <xf numFmtId="0" fontId="22" fillId="21" borderId="11" xfId="5" applyFont="1" applyFill="1" applyBorder="1" applyAlignment="1" applyProtection="1">
      <alignment horizontal="center" vertical="center" wrapText="1"/>
      <protection hidden="1"/>
    </xf>
    <xf numFmtId="0" fontId="31" fillId="13" borderId="178" xfId="0" applyFont="1" applyFill="1" applyBorder="1" applyAlignment="1">
      <alignment horizontal="center" vertical="center" wrapText="1" readingOrder="1"/>
    </xf>
    <xf numFmtId="0" fontId="31" fillId="13" borderId="179" xfId="0" applyFont="1" applyFill="1" applyBorder="1" applyAlignment="1">
      <alignment horizontal="center" vertical="center" wrapText="1" readingOrder="1"/>
    </xf>
    <xf numFmtId="0" fontId="22" fillId="0" borderId="226" xfId="5" applyFont="1" applyFill="1" applyBorder="1" applyAlignment="1" applyProtection="1">
      <alignment horizontal="center" vertical="center"/>
      <protection hidden="1"/>
    </xf>
    <xf numFmtId="0" fontId="22" fillId="0" borderId="227" xfId="5" applyFont="1" applyFill="1" applyBorder="1" applyAlignment="1" applyProtection="1">
      <alignment horizontal="center" vertical="center"/>
      <protection hidden="1"/>
    </xf>
    <xf numFmtId="0" fontId="18" fillId="15" borderId="173" xfId="0" applyFont="1" applyFill="1" applyBorder="1" applyAlignment="1" applyProtection="1">
      <alignment horizontal="center" vertical="center" wrapText="1"/>
      <protection hidden="1"/>
    </xf>
    <xf numFmtId="0" fontId="53" fillId="11" borderId="169" xfId="0" applyFont="1" applyFill="1" applyBorder="1" applyAlignment="1" applyProtection="1">
      <alignment horizontal="left" vertical="center" wrapText="1"/>
      <protection hidden="1"/>
    </xf>
    <xf numFmtId="0" fontId="53" fillId="11" borderId="223" xfId="0" applyFont="1" applyFill="1" applyBorder="1" applyAlignment="1" applyProtection="1">
      <alignment horizontal="left" vertical="center" wrapText="1"/>
      <protection hidden="1"/>
    </xf>
    <xf numFmtId="0" fontId="53" fillId="11" borderId="0" xfId="0" applyFont="1" applyFill="1" applyAlignment="1" applyProtection="1">
      <alignment horizontal="left" vertical="center" wrapText="1"/>
      <protection hidden="1"/>
    </xf>
    <xf numFmtId="0" fontId="70" fillId="11" borderId="68" xfId="0" applyFont="1" applyFill="1" applyBorder="1" applyAlignment="1" applyProtection="1">
      <alignment horizontal="left" vertical="center"/>
      <protection hidden="1"/>
    </xf>
    <xf numFmtId="0" fontId="70" fillId="11" borderId="106" xfId="0" applyFont="1" applyFill="1" applyBorder="1" applyAlignment="1" applyProtection="1">
      <alignment horizontal="left" vertical="center"/>
      <protection hidden="1"/>
    </xf>
    <xf numFmtId="0" fontId="18" fillId="0" borderId="158" xfId="0" applyFont="1" applyBorder="1" applyAlignment="1" applyProtection="1">
      <alignment horizontal="center" vertical="center" wrapText="1"/>
      <protection hidden="1"/>
    </xf>
    <xf numFmtId="0" fontId="81" fillId="13" borderId="156" xfId="2" applyFont="1" applyFill="1" applyBorder="1" applyAlignment="1">
      <alignment horizontal="center" vertical="center" wrapText="1"/>
    </xf>
    <xf numFmtId="0" fontId="81" fillId="13" borderId="93" xfId="2" applyFont="1" applyFill="1" applyBorder="1" applyAlignment="1">
      <alignment horizontal="center" vertical="center" wrapText="1"/>
    </xf>
    <xf numFmtId="0" fontId="81" fillId="13" borderId="7" xfId="2" applyFont="1" applyFill="1" applyBorder="1" applyAlignment="1">
      <alignment horizontal="center" vertical="center" wrapText="1"/>
    </xf>
    <xf numFmtId="0" fontId="81" fillId="13" borderId="73" xfId="2" applyFont="1" applyFill="1" applyBorder="1" applyAlignment="1">
      <alignment horizontal="center" vertical="center" wrapText="1"/>
    </xf>
    <xf numFmtId="0" fontId="81" fillId="13" borderId="107" xfId="2" applyFont="1" applyFill="1" applyBorder="1" applyAlignment="1">
      <alignment horizontal="center" vertical="center" wrapText="1"/>
    </xf>
    <xf numFmtId="0" fontId="81" fillId="13" borderId="148" xfId="2" applyFont="1" applyFill="1" applyBorder="1" applyAlignment="1">
      <alignment horizontal="center" vertical="center" wrapText="1"/>
    </xf>
    <xf numFmtId="0" fontId="53" fillId="11" borderId="174" xfId="6" applyFont="1" applyFill="1" applyBorder="1" applyAlignment="1" applyProtection="1">
      <alignment horizontal="center" vertical="center"/>
      <protection hidden="1"/>
    </xf>
    <xf numFmtId="0" fontId="70" fillId="13" borderId="174" xfId="0" applyFont="1" applyFill="1" applyBorder="1" applyAlignment="1" applyProtection="1">
      <alignment horizontal="left" vertical="top" wrapText="1"/>
      <protection hidden="1"/>
    </xf>
    <xf numFmtId="0" fontId="53" fillId="11" borderId="156" xfId="0" applyFont="1" applyFill="1" applyBorder="1" applyAlignment="1" applyProtection="1">
      <alignment horizontal="left" vertical="center" wrapText="1" indent="1"/>
      <protection hidden="1"/>
    </xf>
    <xf numFmtId="0" fontId="53" fillId="11" borderId="157" xfId="0" applyFont="1" applyFill="1" applyBorder="1" applyAlignment="1" applyProtection="1">
      <alignment horizontal="left" vertical="center" wrapText="1" indent="1"/>
      <protection hidden="1"/>
    </xf>
    <xf numFmtId="0" fontId="53" fillId="11" borderId="130" xfId="0" applyFont="1" applyFill="1" applyBorder="1" applyAlignment="1" applyProtection="1">
      <alignment horizontal="left" vertical="center" wrapText="1" indent="1"/>
      <protection hidden="1"/>
    </xf>
    <xf numFmtId="0" fontId="69" fillId="13" borderId="7" xfId="0" applyFont="1" applyFill="1" applyBorder="1" applyAlignment="1" applyProtection="1">
      <alignment horizontal="left" vertical="center" indent="4"/>
      <protection hidden="1"/>
    </xf>
    <xf numFmtId="0" fontId="69" fillId="13" borderId="0" xfId="0" applyFont="1" applyFill="1" applyAlignment="1" applyProtection="1">
      <alignment horizontal="left" vertical="center" indent="4"/>
      <protection hidden="1"/>
    </xf>
    <xf numFmtId="0" fontId="22" fillId="0" borderId="13" xfId="0" applyFont="1" applyBorder="1" applyAlignment="1" applyProtection="1">
      <alignment horizontal="center" vertical="center" wrapText="1"/>
      <protection hidden="1"/>
    </xf>
    <xf numFmtId="0" fontId="22" fillId="0" borderId="11" xfId="0" applyFont="1" applyBorder="1" applyAlignment="1" applyProtection="1">
      <alignment horizontal="center" vertical="center" wrapText="1"/>
      <protection hidden="1"/>
    </xf>
    <xf numFmtId="0" fontId="81" fillId="13" borderId="131" xfId="2" applyFont="1" applyFill="1" applyBorder="1" applyAlignment="1">
      <alignment horizontal="center" vertical="center" wrapText="1"/>
    </xf>
    <xf numFmtId="0" fontId="81" fillId="13" borderId="71" xfId="2" applyFont="1" applyFill="1" applyBorder="1" applyAlignment="1">
      <alignment horizontal="center" vertical="center" wrapText="1"/>
    </xf>
    <xf numFmtId="0" fontId="81" fillId="13" borderId="172" xfId="2" applyFont="1" applyFill="1" applyBorder="1" applyAlignment="1">
      <alignment horizontal="center" vertical="center" wrapText="1"/>
    </xf>
    <xf numFmtId="0" fontId="81" fillId="13" borderId="32" xfId="2" applyFont="1" applyFill="1" applyBorder="1" applyAlignment="1">
      <alignment horizontal="center" vertical="center" wrapText="1"/>
    </xf>
    <xf numFmtId="0" fontId="81" fillId="13" borderId="156" xfId="0" applyFont="1" applyFill="1" applyBorder="1" applyAlignment="1">
      <alignment horizontal="center" vertical="center"/>
    </xf>
    <xf numFmtId="0" fontId="81" fillId="13" borderId="157" xfId="0" applyFont="1" applyFill="1" applyBorder="1" applyAlignment="1">
      <alignment horizontal="center" vertical="center"/>
    </xf>
    <xf numFmtId="0" fontId="81" fillId="13" borderId="7" xfId="0" applyFont="1" applyFill="1" applyBorder="1" applyAlignment="1">
      <alignment horizontal="center" vertical="center"/>
    </xf>
    <xf numFmtId="0" fontId="81" fillId="13" borderId="0" xfId="0" applyFont="1" applyFill="1" applyAlignment="1">
      <alignment horizontal="center" vertical="center"/>
    </xf>
    <xf numFmtId="0" fontId="81" fillId="13" borderId="107" xfId="0" applyFont="1" applyFill="1" applyBorder="1" applyAlignment="1">
      <alignment horizontal="center" vertical="center"/>
    </xf>
    <xf numFmtId="0" fontId="81" fillId="13" borderId="77" xfId="0" applyFont="1" applyFill="1" applyBorder="1" applyAlignment="1">
      <alignment horizontal="center" vertical="center"/>
    </xf>
    <xf numFmtId="0" fontId="81" fillId="13" borderId="108" xfId="2" applyFont="1" applyFill="1" applyBorder="1" applyAlignment="1">
      <alignment horizontal="center" vertical="center" wrapText="1"/>
    </xf>
    <xf numFmtId="0" fontId="81" fillId="13" borderId="70" xfId="2" applyFont="1" applyFill="1" applyBorder="1" applyAlignment="1">
      <alignment horizontal="center" vertical="center" wrapText="1"/>
    </xf>
    <xf numFmtId="0" fontId="81" fillId="13" borderId="0" xfId="2" applyFont="1" applyFill="1" applyAlignment="1">
      <alignment horizontal="center" vertical="center" wrapText="1"/>
    </xf>
    <xf numFmtId="0" fontId="81" fillId="13" borderId="77" xfId="2" applyFont="1" applyFill="1" applyBorder="1" applyAlignment="1">
      <alignment horizontal="center" vertical="center" wrapText="1"/>
    </xf>
    <xf numFmtId="0" fontId="81" fillId="13" borderId="133" xfId="2" applyFont="1" applyFill="1" applyBorder="1" applyAlignment="1">
      <alignment horizontal="center" vertical="center" wrapText="1"/>
    </xf>
    <xf numFmtId="0" fontId="81" fillId="13" borderId="134" xfId="2" applyFont="1" applyFill="1" applyBorder="1" applyAlignment="1">
      <alignment horizontal="center" vertical="center" wrapText="1"/>
    </xf>
    <xf numFmtId="0" fontId="18" fillId="19" borderId="17" xfId="0" applyFont="1" applyFill="1" applyBorder="1" applyAlignment="1" applyProtection="1">
      <alignment horizontal="center" vertical="center"/>
      <protection hidden="1"/>
    </xf>
    <xf numFmtId="0" fontId="18" fillId="19" borderId="11" xfId="0" applyFont="1" applyFill="1" applyBorder="1" applyAlignment="1" applyProtection="1">
      <alignment horizontal="center" vertical="center"/>
      <protection hidden="1"/>
    </xf>
    <xf numFmtId="0" fontId="22" fillId="15" borderId="13" xfId="0" applyFont="1" applyFill="1" applyBorder="1" applyAlignment="1" applyProtection="1">
      <alignment horizontal="center" vertical="center"/>
      <protection hidden="1"/>
    </xf>
    <xf numFmtId="0" fontId="22" fillId="15" borderId="17" xfId="0" applyFont="1" applyFill="1" applyBorder="1" applyAlignment="1" applyProtection="1">
      <alignment horizontal="center" vertical="center"/>
      <protection hidden="1"/>
    </xf>
    <xf numFmtId="0" fontId="90" fillId="13" borderId="108" xfId="6" applyFont="1" applyFill="1" applyBorder="1" applyAlignment="1">
      <alignment horizontal="center" vertical="center" wrapText="1"/>
    </xf>
    <xf numFmtId="0" fontId="90" fillId="13" borderId="70" xfId="6" applyFont="1" applyFill="1" applyBorder="1" applyAlignment="1">
      <alignment horizontal="center" vertical="center" wrapText="1"/>
    </xf>
    <xf numFmtId="0" fontId="90" fillId="13" borderId="7" xfId="6" applyFont="1" applyFill="1" applyBorder="1" applyAlignment="1">
      <alignment horizontal="center" vertical="center" wrapText="1"/>
    </xf>
    <xf numFmtId="0" fontId="90" fillId="13" borderId="0" xfId="6" applyFont="1" applyFill="1" applyBorder="1" applyAlignment="1">
      <alignment horizontal="center" vertical="center" wrapText="1"/>
    </xf>
    <xf numFmtId="0" fontId="90" fillId="13" borderId="107" xfId="6" applyFont="1" applyFill="1" applyBorder="1" applyAlignment="1">
      <alignment horizontal="center" vertical="center" wrapText="1"/>
    </xf>
    <xf numFmtId="0" fontId="90" fillId="13" borderId="77" xfId="6" applyFont="1" applyFill="1" applyBorder="1" applyAlignment="1">
      <alignment horizontal="center" vertical="center" wrapText="1"/>
    </xf>
    <xf numFmtId="0" fontId="53" fillId="11" borderId="105" xfId="0" applyFont="1" applyFill="1" applyBorder="1" applyAlignment="1" applyProtection="1">
      <alignment horizontal="left" vertical="center" wrapText="1"/>
      <protection hidden="1"/>
    </xf>
    <xf numFmtId="0" fontId="53" fillId="11" borderId="68" xfId="0" applyFont="1" applyFill="1" applyBorder="1" applyAlignment="1" applyProtection="1">
      <alignment horizontal="left" vertical="center" wrapText="1"/>
      <protection hidden="1"/>
    </xf>
    <xf numFmtId="0" fontId="7" fillId="7" borderId="1" xfId="2" applyFill="1" applyBorder="1" applyAlignment="1">
      <alignment horizontal="left" vertical="center" wrapText="1"/>
    </xf>
    <xf numFmtId="0" fontId="7" fillId="7" borderId="2" xfId="2" applyFill="1" applyBorder="1" applyAlignment="1">
      <alignment horizontal="left" vertical="center" wrapText="1"/>
    </xf>
    <xf numFmtId="0" fontId="7" fillId="7" borderId="3" xfId="2" applyFill="1" applyBorder="1" applyAlignment="1">
      <alignment horizontal="left" vertical="center" wrapText="1"/>
    </xf>
    <xf numFmtId="0" fontId="7" fillId="7" borderId="7" xfId="2" applyFill="1" applyBorder="1" applyAlignment="1">
      <alignment horizontal="left" vertical="center" wrapText="1"/>
    </xf>
    <xf numFmtId="0" fontId="7" fillId="7" borderId="0" xfId="2" applyFill="1" applyAlignment="1">
      <alignment horizontal="left" vertical="center" wrapText="1"/>
    </xf>
    <xf numFmtId="0" fontId="7" fillId="7" borderId="73" xfId="2" applyFill="1" applyBorder="1" applyAlignment="1">
      <alignment horizontal="left" vertical="center" wrapText="1"/>
    </xf>
    <xf numFmtId="0" fontId="54" fillId="38" borderId="160" xfId="0" applyFont="1" applyFill="1" applyBorder="1" applyAlignment="1">
      <alignment horizontal="center" vertical="center" wrapText="1"/>
    </xf>
    <xf numFmtId="0" fontId="54" fillId="38" borderId="232" xfId="0" applyFont="1" applyFill="1" applyBorder="1" applyAlignment="1">
      <alignment horizontal="center" vertical="center" wrapText="1"/>
    </xf>
    <xf numFmtId="0" fontId="54" fillId="38" borderId="163" xfId="0" applyFont="1" applyFill="1" applyBorder="1" applyAlignment="1">
      <alignment horizontal="center" vertical="center" wrapText="1"/>
    </xf>
    <xf numFmtId="0" fontId="54" fillId="38" borderId="73" xfId="0" applyFont="1" applyFill="1" applyBorder="1" applyAlignment="1">
      <alignment horizontal="center" vertical="center" wrapText="1"/>
    </xf>
    <xf numFmtId="0" fontId="54" fillId="38" borderId="165" xfId="0" applyFont="1" applyFill="1" applyBorder="1" applyAlignment="1">
      <alignment horizontal="center" vertical="center" wrapText="1"/>
    </xf>
    <xf numFmtId="0" fontId="54" fillId="38" borderId="233" xfId="0" applyFont="1" applyFill="1" applyBorder="1" applyAlignment="1">
      <alignment horizontal="center" vertical="center" wrapText="1"/>
    </xf>
    <xf numFmtId="0" fontId="56" fillId="38" borderId="231" xfId="0" applyFont="1" applyFill="1" applyBorder="1" applyAlignment="1">
      <alignment horizontal="center" vertical="center" wrapText="1"/>
    </xf>
    <xf numFmtId="0" fontId="56" fillId="38" borderId="180" xfId="0" applyFont="1" applyFill="1" applyBorder="1" applyAlignment="1">
      <alignment horizontal="center" vertical="center" wrapText="1"/>
    </xf>
    <xf numFmtId="0" fontId="56" fillId="38" borderId="206" xfId="0" applyFont="1" applyFill="1" applyBorder="1" applyAlignment="1">
      <alignment horizontal="center" vertical="center" wrapText="1"/>
    </xf>
    <xf numFmtId="0" fontId="56" fillId="38" borderId="205" xfId="0" applyFont="1" applyFill="1" applyBorder="1" applyAlignment="1">
      <alignment horizontal="center" vertical="center" wrapText="1"/>
    </xf>
    <xf numFmtId="0" fontId="56" fillId="38" borderId="234" xfId="0" applyFont="1" applyFill="1" applyBorder="1" applyAlignment="1">
      <alignment horizontal="center" vertical="center" wrapText="1"/>
    </xf>
    <xf numFmtId="0" fontId="56" fillId="10" borderId="7" xfId="0" applyFont="1" applyFill="1" applyBorder="1" applyAlignment="1">
      <alignment horizontal="center" vertical="center" wrapText="1"/>
    </xf>
    <xf numFmtId="0" fontId="56" fillId="10" borderId="112" xfId="0" applyFont="1" applyFill="1" applyBorder="1" applyAlignment="1">
      <alignment horizontal="center" vertical="center" wrapText="1"/>
    </xf>
    <xf numFmtId="0" fontId="54" fillId="38" borderId="162" xfId="0" applyFont="1" applyFill="1" applyBorder="1" applyAlignment="1">
      <alignment horizontal="center" vertical="center" wrapText="1"/>
    </xf>
    <xf numFmtId="0" fontId="54" fillId="38" borderId="164" xfId="0" applyFont="1" applyFill="1" applyBorder="1" applyAlignment="1">
      <alignment horizontal="center" vertical="center" wrapText="1"/>
    </xf>
    <xf numFmtId="0" fontId="54" fillId="38" borderId="167" xfId="0" applyFont="1" applyFill="1" applyBorder="1" applyAlignment="1">
      <alignment horizontal="center" vertical="center" wrapText="1"/>
    </xf>
    <xf numFmtId="0" fontId="56" fillId="38" borderId="72" xfId="0" applyFont="1" applyFill="1" applyBorder="1" applyAlignment="1">
      <alignment horizontal="center" vertical="center" wrapText="1"/>
    </xf>
    <xf numFmtId="0" fontId="56" fillId="38" borderId="73" xfId="0" applyFont="1" applyFill="1" applyBorder="1" applyAlignment="1">
      <alignment horizontal="center" vertical="center" wrapText="1"/>
    </xf>
    <xf numFmtId="0" fontId="56" fillId="38" borderId="10" xfId="0" applyFont="1" applyFill="1" applyBorder="1" applyAlignment="1">
      <alignment horizontal="center" vertical="center" wrapText="1"/>
    </xf>
    <xf numFmtId="0" fontId="54" fillId="38" borderId="7" xfId="0" applyFont="1" applyFill="1" applyBorder="1" applyAlignment="1">
      <alignment horizontal="center" vertical="center" wrapText="1"/>
    </xf>
    <xf numFmtId="0" fontId="56" fillId="38" borderId="17" xfId="0" applyFont="1" applyFill="1" applyBorder="1" applyAlignment="1">
      <alignment horizontal="center" vertical="center" wrapText="1"/>
    </xf>
    <xf numFmtId="0" fontId="54" fillId="10" borderId="73" xfId="0" applyFont="1" applyFill="1" applyBorder="1" applyAlignment="1">
      <alignment horizontal="center" vertical="center" wrapText="1"/>
    </xf>
    <xf numFmtId="0" fontId="56" fillId="10" borderId="1" xfId="0" applyFont="1" applyFill="1" applyBorder="1" applyAlignment="1">
      <alignment horizontal="center" vertical="center" wrapText="1"/>
    </xf>
    <xf numFmtId="0" fontId="56" fillId="10" borderId="180" xfId="0" applyFont="1" applyFill="1" applyBorder="1" applyAlignment="1">
      <alignment horizontal="center" vertical="center" wrapText="1"/>
    </xf>
    <xf numFmtId="0" fontId="56" fillId="10" borderId="188" xfId="0" applyFont="1" applyFill="1" applyBorder="1" applyAlignment="1">
      <alignment horizontal="center" vertical="center" wrapText="1"/>
    </xf>
    <xf numFmtId="0" fontId="65" fillId="10" borderId="175" xfId="0" applyFont="1" applyFill="1" applyBorder="1" applyAlignment="1">
      <alignment horizontal="center" vertical="center" wrapText="1"/>
    </xf>
    <xf numFmtId="0" fontId="65" fillId="10" borderId="176" xfId="0" applyFont="1" applyFill="1" applyBorder="1" applyAlignment="1">
      <alignment horizontal="center" vertical="center" wrapText="1"/>
    </xf>
    <xf numFmtId="0" fontId="54" fillId="10" borderId="47" xfId="0" applyFont="1" applyFill="1" applyBorder="1" applyAlignment="1">
      <alignment horizontal="center" vertical="center" wrapText="1"/>
    </xf>
    <xf numFmtId="0" fontId="54" fillId="10" borderId="184" xfId="0" applyFont="1" applyFill="1" applyBorder="1" applyAlignment="1">
      <alignment horizontal="center" vertical="center" wrapText="1"/>
    </xf>
    <xf numFmtId="0" fontId="54" fillId="10" borderId="0" xfId="0" applyFont="1" applyFill="1" applyAlignment="1">
      <alignment horizontal="center" vertical="center" wrapText="1"/>
    </xf>
    <xf numFmtId="0" fontId="54" fillId="10" borderId="164" xfId="0" applyFont="1" applyFill="1" applyBorder="1" applyAlignment="1">
      <alignment horizontal="center" vertical="center" wrapText="1"/>
    </xf>
    <xf numFmtId="0" fontId="54" fillId="10" borderId="129" xfId="0" applyFont="1" applyFill="1" applyBorder="1" applyAlignment="1">
      <alignment horizontal="center" vertical="center" wrapText="1"/>
    </xf>
    <xf numFmtId="0" fontId="54" fillId="10" borderId="183" xfId="0" applyFont="1" applyFill="1" applyBorder="1" applyAlignment="1">
      <alignment horizontal="center" vertical="center" wrapText="1"/>
    </xf>
    <xf numFmtId="0" fontId="54" fillId="10" borderId="2" xfId="0" applyFont="1" applyFill="1" applyBorder="1" applyAlignment="1">
      <alignment horizontal="center" vertical="center" wrapText="1"/>
    </xf>
    <xf numFmtId="0" fontId="54" fillId="10" borderId="9" xfId="0" applyFont="1" applyFill="1" applyBorder="1" applyAlignment="1">
      <alignment horizontal="center" vertical="center" wrapText="1"/>
    </xf>
    <xf numFmtId="0" fontId="54" fillId="10" borderId="190" xfId="0" applyFont="1" applyFill="1" applyBorder="1" applyAlignment="1">
      <alignment horizontal="center" vertical="center" wrapText="1"/>
    </xf>
    <xf numFmtId="0" fontId="54" fillId="10" borderId="181" xfId="0" applyFont="1" applyFill="1" applyBorder="1" applyAlignment="1">
      <alignment horizontal="center" vertical="center" wrapText="1"/>
    </xf>
    <xf numFmtId="0" fontId="54" fillId="38" borderId="0" xfId="0" applyFont="1" applyFill="1" applyAlignment="1">
      <alignment horizontal="center" vertical="center" wrapText="1"/>
    </xf>
    <xf numFmtId="0" fontId="56" fillId="10" borderId="205" xfId="0" applyFont="1" applyFill="1" applyBorder="1" applyAlignment="1">
      <alignment horizontal="center" vertical="center" wrapText="1"/>
    </xf>
    <xf numFmtId="0" fontId="56" fillId="10" borderId="206" xfId="0" applyFont="1" applyFill="1" applyBorder="1" applyAlignment="1">
      <alignment horizontal="center" vertical="center" wrapText="1"/>
    </xf>
    <xf numFmtId="0" fontId="54" fillId="2" borderId="224" xfId="2" applyFont="1" applyFill="1" applyBorder="1" applyAlignment="1">
      <alignment horizontal="center" vertical="center" wrapText="1"/>
    </xf>
    <xf numFmtId="0" fontId="54" fillId="2" borderId="147" xfId="2" applyFont="1" applyFill="1" applyBorder="1" applyAlignment="1">
      <alignment horizontal="center" vertical="center" wrapText="1"/>
    </xf>
    <xf numFmtId="0" fontId="54" fillId="2" borderId="225" xfId="2" applyFont="1" applyFill="1" applyBorder="1" applyAlignment="1">
      <alignment horizontal="center" vertical="center" wrapText="1"/>
    </xf>
    <xf numFmtId="0" fontId="56" fillId="2" borderId="155" xfId="2" applyFont="1" applyFill="1" applyBorder="1" applyAlignment="1">
      <alignment horizontal="center" vertical="center" wrapText="1"/>
    </xf>
    <xf numFmtId="0" fontId="56" fillId="2" borderId="53" xfId="2" applyFont="1" applyFill="1" applyBorder="1" applyAlignment="1">
      <alignment horizontal="center" vertical="center" wrapText="1"/>
    </xf>
    <xf numFmtId="0" fontId="56" fillId="2" borderId="142" xfId="2" applyFont="1" applyFill="1" applyBorder="1" applyAlignment="1">
      <alignment horizontal="center" vertical="center" wrapText="1"/>
    </xf>
    <xf numFmtId="0" fontId="54" fillId="10" borderId="185" xfId="0" applyFont="1" applyFill="1" applyBorder="1" applyAlignment="1">
      <alignment horizontal="center" vertical="center" wrapText="1"/>
    </xf>
    <xf numFmtId="0" fontId="54" fillId="10" borderId="186" xfId="0" applyFont="1" applyFill="1" applyBorder="1" applyAlignment="1">
      <alignment horizontal="center" vertical="center" wrapText="1"/>
    </xf>
    <xf numFmtId="0" fontId="83" fillId="10" borderId="163" xfId="0" applyFont="1" applyFill="1" applyBorder="1" applyAlignment="1">
      <alignment horizontal="center" vertical="center" wrapText="1"/>
    </xf>
    <xf numFmtId="0" fontId="56" fillId="10" borderId="17" xfId="0" applyFont="1" applyFill="1" applyBorder="1" applyAlignment="1">
      <alignment horizontal="center" vertical="center" wrapText="1"/>
    </xf>
    <xf numFmtId="0" fontId="56" fillId="10" borderId="11" xfId="0" applyFont="1" applyFill="1" applyBorder="1" applyAlignment="1">
      <alignment horizontal="center" vertical="center" wrapText="1"/>
    </xf>
    <xf numFmtId="0" fontId="54" fillId="10" borderId="192" xfId="0" applyFont="1" applyFill="1" applyBorder="1" applyAlignment="1">
      <alignment horizontal="center" vertical="center" wrapText="1"/>
    </xf>
    <xf numFmtId="0" fontId="54" fillId="10" borderId="187" xfId="0" applyFont="1" applyFill="1" applyBorder="1" applyAlignment="1">
      <alignment horizontal="center" vertical="center" wrapText="1"/>
    </xf>
    <xf numFmtId="0" fontId="56" fillId="10" borderId="205" xfId="0" applyFont="1" applyFill="1" applyBorder="1" applyAlignment="1">
      <alignment horizontal="center" vertical="center"/>
    </xf>
    <xf numFmtId="0" fontId="56" fillId="10" borderId="180" xfId="0" applyFont="1" applyFill="1" applyBorder="1" applyAlignment="1">
      <alignment horizontal="center" vertical="center"/>
    </xf>
    <xf numFmtId="0" fontId="56" fillId="10" borderId="206" xfId="0" applyFont="1" applyFill="1" applyBorder="1" applyAlignment="1">
      <alignment horizontal="center" vertical="center"/>
    </xf>
    <xf numFmtId="0" fontId="54" fillId="38" borderId="235" xfId="0" applyFont="1" applyFill="1" applyBorder="1" applyAlignment="1">
      <alignment horizontal="center" vertical="center" wrapText="1"/>
    </xf>
    <xf numFmtId="0" fontId="54" fillId="38" borderId="9" xfId="0" applyFont="1" applyFill="1" applyBorder="1" applyAlignment="1">
      <alignment horizontal="center" vertical="center" wrapText="1"/>
    </xf>
    <xf numFmtId="0" fontId="54" fillId="38" borderId="190" xfId="0" applyFont="1" applyFill="1" applyBorder="1" applyAlignment="1">
      <alignment horizontal="center" vertical="center" wrapText="1"/>
    </xf>
    <xf numFmtId="0" fontId="57" fillId="9" borderId="50" xfId="0" applyFont="1" applyFill="1" applyBorder="1" applyAlignment="1">
      <alignment horizontal="center" vertical="center"/>
    </xf>
    <xf numFmtId="0" fontId="57" fillId="9" borderId="36" xfId="0" applyFont="1" applyFill="1" applyBorder="1" applyAlignment="1">
      <alignment horizontal="center" vertical="center"/>
    </xf>
    <xf numFmtId="0" fontId="54" fillId="2" borderId="1" xfId="0" applyFont="1" applyFill="1" applyBorder="1" applyAlignment="1">
      <alignment horizontal="center" vertical="center" wrapText="1"/>
    </xf>
    <xf numFmtId="0" fontId="54" fillId="2" borderId="3" xfId="0" applyFont="1" applyFill="1" applyBorder="1" applyAlignment="1">
      <alignment horizontal="center" vertical="center" wrapText="1"/>
    </xf>
    <xf numFmtId="0" fontId="54" fillId="2" borderId="7" xfId="0" applyFont="1" applyFill="1" applyBorder="1" applyAlignment="1">
      <alignment horizontal="center" vertical="center" wrapText="1"/>
    </xf>
    <xf numFmtId="0" fontId="54" fillId="2" borderId="73" xfId="0" applyFont="1" applyFill="1" applyBorder="1" applyAlignment="1">
      <alignment horizontal="center" vertical="center" wrapText="1"/>
    </xf>
    <xf numFmtId="0" fontId="54" fillId="2" borderId="112" xfId="0" applyFont="1" applyFill="1" applyBorder="1" applyAlignment="1">
      <alignment horizontal="center" vertical="center" wrapText="1"/>
    </xf>
    <xf numFmtId="0" fontId="54" fillId="2" borderId="113" xfId="0" applyFont="1" applyFill="1" applyBorder="1" applyAlignment="1">
      <alignment horizontal="center" vertical="center" wrapText="1"/>
    </xf>
    <xf numFmtId="0" fontId="54" fillId="2" borderId="115" xfId="2" applyFont="1" applyFill="1" applyBorder="1" applyAlignment="1">
      <alignment horizontal="center" vertical="center" wrapText="1"/>
    </xf>
    <xf numFmtId="0" fontId="54" fillId="2" borderId="72" xfId="2" applyFont="1" applyFill="1" applyBorder="1" applyAlignment="1">
      <alignment horizontal="center" vertical="center" wrapText="1"/>
    </xf>
    <xf numFmtId="0" fontId="54" fillId="2" borderId="112" xfId="2" applyFont="1" applyFill="1" applyBorder="1" applyAlignment="1">
      <alignment horizontal="center" vertical="center" wrapText="1"/>
    </xf>
    <xf numFmtId="0" fontId="54" fillId="2" borderId="113" xfId="2" applyFont="1" applyFill="1" applyBorder="1" applyAlignment="1">
      <alignment horizontal="center" vertical="center" wrapText="1"/>
    </xf>
    <xf numFmtId="0" fontId="54" fillId="2" borderId="74" xfId="2" applyFont="1" applyFill="1" applyBorder="1" applyAlignment="1">
      <alignment horizontal="center" vertical="center" wrapText="1"/>
    </xf>
    <xf numFmtId="0" fontId="54" fillId="2" borderId="75" xfId="2" applyFont="1" applyFill="1" applyBorder="1" applyAlignment="1">
      <alignment horizontal="center" vertical="center" wrapText="1"/>
    </xf>
    <xf numFmtId="0" fontId="54" fillId="2" borderId="7" xfId="2" applyFont="1" applyFill="1" applyBorder="1" applyAlignment="1">
      <alignment horizontal="center" vertical="center" wrapText="1"/>
    </xf>
    <xf numFmtId="0" fontId="54" fillId="2" borderId="73" xfId="2" applyFont="1" applyFill="1" applyBorder="1" applyAlignment="1">
      <alignment horizontal="center" vertical="center" wrapText="1"/>
    </xf>
    <xf numFmtId="0" fontId="12" fillId="9" borderId="31" xfId="0" applyFont="1" applyFill="1" applyBorder="1" applyAlignment="1" applyProtection="1">
      <alignment horizontal="center" vertical="center"/>
      <protection hidden="1"/>
    </xf>
    <xf numFmtId="0" fontId="12" fillId="9" borderId="32" xfId="0" applyFont="1" applyFill="1" applyBorder="1" applyAlignment="1" applyProtection="1">
      <alignment horizontal="center" vertical="center"/>
      <protection hidden="1"/>
    </xf>
    <xf numFmtId="0" fontId="11" fillId="9" borderId="0" xfId="0" applyFont="1" applyFill="1" applyAlignment="1" applyProtection="1">
      <alignment horizontal="center" vertical="center" wrapText="1"/>
      <protection hidden="1"/>
    </xf>
    <xf numFmtId="0" fontId="11" fillId="9" borderId="9" xfId="0" applyFont="1" applyFill="1" applyBorder="1" applyAlignment="1" applyProtection="1">
      <alignment horizontal="center" vertical="center" wrapText="1"/>
      <protection hidden="1"/>
    </xf>
    <xf numFmtId="0" fontId="65" fillId="2" borderId="13" xfId="0" applyFont="1" applyFill="1" applyBorder="1" applyAlignment="1">
      <alignment horizontal="center" vertical="center" wrapText="1"/>
    </xf>
    <xf numFmtId="0" fontId="65" fillId="2" borderId="17" xfId="0" applyFont="1" applyFill="1" applyBorder="1" applyAlignment="1">
      <alignment horizontal="center" vertical="center" wrapText="1"/>
    </xf>
    <xf numFmtId="0" fontId="65" fillId="2" borderId="7" xfId="0" applyFont="1" applyFill="1" applyBorder="1" applyAlignment="1">
      <alignment horizontal="center" vertical="center" wrapText="1"/>
    </xf>
    <xf numFmtId="0" fontId="57" fillId="9" borderId="30" xfId="0" applyFont="1" applyFill="1" applyBorder="1" applyAlignment="1">
      <alignment horizontal="center" vertical="center"/>
    </xf>
    <xf numFmtId="0" fontId="57" fillId="9" borderId="34" xfId="0" applyFont="1" applyFill="1" applyBorder="1" applyAlignment="1">
      <alignment horizontal="center" vertical="center"/>
    </xf>
    <xf numFmtId="167" fontId="6" fillId="34" borderId="4" xfId="2" applyNumberFormat="1" applyFont="1" applyFill="1" applyBorder="1" applyAlignment="1" applyProtection="1">
      <alignment horizontal="right" indent="1"/>
      <protection hidden="1"/>
    </xf>
    <xf numFmtId="167" fontId="6" fillId="34" borderId="6" xfId="2" applyNumberFormat="1" applyFont="1" applyFill="1" applyBorder="1" applyAlignment="1" applyProtection="1">
      <alignment horizontal="right" indent="1"/>
      <protection hidden="1"/>
    </xf>
    <xf numFmtId="167" fontId="6" fillId="32" borderId="8" xfId="2" applyNumberFormat="1" applyFont="1" applyFill="1" applyBorder="1" applyAlignment="1" applyProtection="1">
      <alignment horizontal="right" vertical="center" wrapText="1"/>
      <protection hidden="1"/>
    </xf>
    <xf numFmtId="167" fontId="6" fillId="32" borderId="9" xfId="2" applyNumberFormat="1" applyFont="1" applyFill="1" applyBorder="1" applyAlignment="1" applyProtection="1">
      <alignment horizontal="right" vertical="center" wrapText="1"/>
      <protection hidden="1"/>
    </xf>
    <xf numFmtId="0" fontId="8" fillId="11" borderId="4" xfId="2" applyFont="1" applyFill="1" applyBorder="1" applyAlignment="1" applyProtection="1">
      <alignment horizontal="left" vertical="center" wrapText="1"/>
      <protection hidden="1"/>
    </xf>
    <xf numFmtId="0" fontId="8" fillId="11" borderId="5" xfId="2" applyFont="1" applyFill="1" applyBorder="1" applyAlignment="1" applyProtection="1">
      <alignment horizontal="left" vertical="center" wrapText="1"/>
      <protection hidden="1"/>
    </xf>
    <xf numFmtId="0" fontId="41" fillId="10" borderId="4" xfId="2" applyFont="1" applyFill="1" applyBorder="1" applyAlignment="1" applyProtection="1">
      <alignment horizontal="left" wrapText="1"/>
      <protection hidden="1"/>
    </xf>
    <xf numFmtId="0" fontId="41" fillId="10" borderId="5" xfId="2" applyFont="1" applyFill="1" applyBorder="1" applyAlignment="1" applyProtection="1">
      <alignment horizontal="left" wrapText="1"/>
      <protection hidden="1"/>
    </xf>
    <xf numFmtId="167" fontId="6" fillId="8" borderId="4" xfId="2" applyNumberFormat="1" applyFont="1" applyFill="1" applyBorder="1" applyAlignment="1" applyProtection="1">
      <alignment horizontal="right" indent="1"/>
      <protection hidden="1"/>
    </xf>
    <xf numFmtId="167" fontId="6" fillId="8" borderId="6" xfId="2" applyNumberFormat="1" applyFont="1" applyFill="1" applyBorder="1" applyAlignment="1" applyProtection="1">
      <alignment horizontal="right" indent="1"/>
      <protection hidden="1"/>
    </xf>
    <xf numFmtId="0" fontId="44" fillId="5" borderId="4" xfId="2" applyFont="1" applyFill="1" applyBorder="1" applyAlignment="1" applyProtection="1">
      <alignment horizontal="left"/>
      <protection hidden="1"/>
    </xf>
    <xf numFmtId="0" fontId="44" fillId="5" borderId="6" xfId="2" applyFont="1" applyFill="1" applyBorder="1" applyAlignment="1" applyProtection="1">
      <alignment horizontal="left"/>
      <protection hidden="1"/>
    </xf>
    <xf numFmtId="0" fontId="13" fillId="32" borderId="4" xfId="2" applyFont="1" applyFill="1" applyBorder="1" applyAlignment="1" applyProtection="1">
      <alignment horizontal="left"/>
      <protection hidden="1"/>
    </xf>
    <xf numFmtId="0" fontId="13" fillId="32" borderId="5" xfId="2" applyFont="1" applyFill="1" applyBorder="1" applyAlignment="1" applyProtection="1">
      <alignment horizontal="left"/>
      <protection hidden="1"/>
    </xf>
    <xf numFmtId="0" fontId="13" fillId="32" borderId="6" xfId="2" applyFont="1" applyFill="1" applyBorder="1" applyAlignment="1" applyProtection="1">
      <alignment horizontal="left"/>
      <protection hidden="1"/>
    </xf>
    <xf numFmtId="0" fontId="46" fillId="33" borderId="4" xfId="2" applyFont="1" applyFill="1" applyBorder="1" applyAlignment="1" applyProtection="1">
      <alignment horizontal="left" vertical="center" wrapText="1"/>
      <protection hidden="1"/>
    </xf>
    <xf numFmtId="0" fontId="46" fillId="33" borderId="5" xfId="2" applyFont="1" applyFill="1" applyBorder="1" applyAlignment="1" applyProtection="1">
      <alignment horizontal="left" vertical="center" wrapText="1"/>
      <protection hidden="1"/>
    </xf>
    <xf numFmtId="0" fontId="46" fillId="33" borderId="6" xfId="2" applyFont="1" applyFill="1" applyBorder="1" applyAlignment="1" applyProtection="1">
      <alignment horizontal="left" vertical="center" wrapText="1"/>
      <protection hidden="1"/>
    </xf>
    <xf numFmtId="0" fontId="78" fillId="6" borderId="160" xfId="6" applyFont="1" applyFill="1" applyBorder="1" applyAlignment="1">
      <alignment horizontal="left" vertical="center"/>
    </xf>
    <xf numFmtId="0" fontId="78" fillId="6" borderId="161" xfId="6" applyFont="1" applyFill="1" applyBorder="1" applyAlignment="1">
      <alignment horizontal="left" vertical="center"/>
    </xf>
    <xf numFmtId="0" fontId="78" fillId="6" borderId="162" xfId="6" applyFont="1" applyFill="1" applyBorder="1" applyAlignment="1">
      <alignment horizontal="left" vertical="center"/>
    </xf>
    <xf numFmtId="0" fontId="78" fillId="6" borderId="163" xfId="6" applyFont="1" applyFill="1" applyBorder="1" applyAlignment="1">
      <alignment horizontal="left" vertical="center"/>
    </xf>
    <xf numFmtId="0" fontId="78" fillId="6" borderId="0" xfId="6" applyFont="1" applyFill="1" applyBorder="1" applyAlignment="1">
      <alignment horizontal="left" vertical="center"/>
    </xf>
    <xf numFmtId="0" fontId="78" fillId="6" borderId="164" xfId="6" applyFont="1" applyFill="1" applyBorder="1" applyAlignment="1">
      <alignment horizontal="left" vertical="center"/>
    </xf>
    <xf numFmtId="0" fontId="17" fillId="13" borderId="1" xfId="0" applyFont="1" applyFill="1" applyBorder="1" applyAlignment="1" applyProtection="1">
      <alignment horizontal="center" vertical="center"/>
      <protection hidden="1"/>
    </xf>
    <xf numFmtId="0" fontId="17" fillId="13" borderId="2" xfId="0" applyFont="1" applyFill="1" applyBorder="1" applyAlignment="1" applyProtection="1">
      <alignment horizontal="center" vertical="center"/>
      <protection hidden="1"/>
    </xf>
    <xf numFmtId="0" fontId="17" fillId="13" borderId="3" xfId="0" applyFont="1" applyFill="1" applyBorder="1" applyAlignment="1" applyProtection="1">
      <alignment horizontal="center" vertical="center"/>
      <protection hidden="1"/>
    </xf>
    <xf numFmtId="0" fontId="71" fillId="13" borderId="0" xfId="0" applyFont="1" applyFill="1" applyAlignment="1" applyProtection="1">
      <alignment horizontal="left" wrapText="1"/>
      <protection hidden="1"/>
    </xf>
    <xf numFmtId="0" fontId="71" fillId="13" borderId="73" xfId="0" applyFont="1" applyFill="1" applyBorder="1" applyAlignment="1" applyProtection="1">
      <alignment horizontal="left" wrapText="1"/>
      <protection hidden="1"/>
    </xf>
    <xf numFmtId="0" fontId="69" fillId="13" borderId="7" xfId="0" applyFont="1" applyFill="1" applyBorder="1" applyAlignment="1" applyProtection="1">
      <alignment horizontal="left" vertical="center" indent="3"/>
      <protection hidden="1"/>
    </xf>
    <xf numFmtId="0" fontId="69" fillId="13" borderId="0" xfId="0" applyFont="1" applyFill="1" applyAlignment="1" applyProtection="1">
      <alignment horizontal="left" vertical="center" indent="3"/>
      <protection hidden="1"/>
    </xf>
    <xf numFmtId="0" fontId="80" fillId="37" borderId="165" xfId="0" applyFont="1" applyFill="1" applyBorder="1" applyAlignment="1">
      <alignment horizontal="left" wrapText="1"/>
    </xf>
    <xf numFmtId="0" fontId="80" fillId="37" borderId="166" xfId="0" applyFont="1" applyFill="1" applyBorder="1" applyAlignment="1">
      <alignment horizontal="left" wrapText="1"/>
    </xf>
    <xf numFmtId="0" fontId="80" fillId="37" borderId="167" xfId="0" applyFont="1" applyFill="1" applyBorder="1" applyAlignment="1">
      <alignment horizontal="left" wrapText="1"/>
    </xf>
    <xf numFmtId="0" fontId="79" fillId="6" borderId="163" xfId="0" applyFont="1" applyFill="1" applyBorder="1" applyAlignment="1">
      <alignment horizontal="left" vertical="center" indent="1"/>
    </xf>
    <xf numFmtId="0" fontId="79" fillId="6" borderId="0" xfId="0" applyFont="1" applyFill="1" applyAlignment="1">
      <alignment horizontal="left" vertical="center" indent="1"/>
    </xf>
    <xf numFmtId="0" fontId="79" fillId="6" borderId="164" xfId="0" applyFont="1" applyFill="1" applyBorder="1" applyAlignment="1">
      <alignment horizontal="left" vertical="center" indent="1"/>
    </xf>
    <xf numFmtId="0" fontId="79" fillId="6" borderId="163" xfId="0" applyFont="1" applyFill="1" applyBorder="1" applyAlignment="1">
      <alignment horizontal="left" vertical="center" indent="2"/>
    </xf>
    <xf numFmtId="0" fontId="79" fillId="6" borderId="0" xfId="0" applyFont="1" applyFill="1" applyAlignment="1">
      <alignment horizontal="left" vertical="center" indent="2"/>
    </xf>
    <xf numFmtId="0" fontId="79" fillId="6" borderId="164" xfId="0" applyFont="1" applyFill="1" applyBorder="1" applyAlignment="1">
      <alignment horizontal="left" vertical="center" indent="2"/>
    </xf>
    <xf numFmtId="0" fontId="80" fillId="37" borderId="163" xfId="0" applyFont="1" applyFill="1" applyBorder="1" applyAlignment="1">
      <alignment horizontal="left"/>
    </xf>
    <xf numFmtId="0" fontId="80" fillId="37" borderId="0" xfId="0" applyFont="1" applyFill="1" applyAlignment="1">
      <alignment horizontal="left"/>
    </xf>
    <xf numFmtId="0" fontId="80" fillId="37" borderId="164" xfId="0" applyFont="1" applyFill="1" applyBorder="1" applyAlignment="1">
      <alignment horizontal="left"/>
    </xf>
    <xf numFmtId="0" fontId="35" fillId="11" borderId="40" xfId="0" applyFont="1" applyFill="1" applyBorder="1" applyAlignment="1" applyProtection="1">
      <alignment horizontal="left" vertical="center" indent="1"/>
      <protection hidden="1"/>
    </xf>
    <xf numFmtId="0" fontId="35" fillId="11" borderId="39" xfId="0" applyFont="1" applyFill="1" applyBorder="1" applyAlignment="1" applyProtection="1">
      <alignment horizontal="left" vertical="center" indent="1"/>
      <protection hidden="1"/>
    </xf>
    <xf numFmtId="0" fontId="31" fillId="13" borderId="94" xfId="0" applyFont="1" applyFill="1" applyBorder="1" applyAlignment="1">
      <alignment horizontal="center" vertical="center" wrapText="1" readingOrder="1"/>
    </xf>
    <xf numFmtId="0" fontId="31" fillId="13" borderId="32" xfId="0" applyFont="1" applyFill="1" applyBorder="1" applyAlignment="1">
      <alignment horizontal="center" vertical="center" wrapText="1" readingOrder="1"/>
    </xf>
    <xf numFmtId="0" fontId="21" fillId="11" borderId="44" xfId="0" applyFont="1" applyFill="1" applyBorder="1" applyAlignment="1" applyProtection="1">
      <alignment horizontal="left" vertical="center" indent="1"/>
      <protection hidden="1"/>
    </xf>
    <xf numFmtId="0" fontId="21" fillId="11" borderId="46" xfId="0" applyFont="1" applyFill="1" applyBorder="1" applyAlignment="1" applyProtection="1">
      <alignment horizontal="left" vertical="center" indent="1"/>
      <protection hidden="1"/>
    </xf>
    <xf numFmtId="0" fontId="21" fillId="11" borderId="45" xfId="0" applyFont="1" applyFill="1" applyBorder="1" applyAlignment="1" applyProtection="1">
      <alignment horizontal="left" vertical="center" wrapText="1" indent="1"/>
      <protection hidden="1"/>
    </xf>
    <xf numFmtId="0" fontId="21" fillId="11" borderId="37" xfId="0" applyFont="1" applyFill="1" applyBorder="1" applyAlignment="1" applyProtection="1">
      <alignment horizontal="left" vertical="center" wrapText="1" indent="1"/>
      <protection hidden="1"/>
    </xf>
    <xf numFmtId="0" fontId="22" fillId="17" borderId="38" xfId="0" applyFont="1" applyFill="1" applyBorder="1" applyAlignment="1" applyProtection="1">
      <alignment horizontal="left" vertical="center" wrapText="1" indent="1"/>
      <protection hidden="1"/>
    </xf>
    <xf numFmtId="0" fontId="22" fillId="17" borderId="34" xfId="0" applyFont="1" applyFill="1" applyBorder="1" applyAlignment="1" applyProtection="1">
      <alignment horizontal="left" vertical="center" wrapText="1" indent="1"/>
      <protection hidden="1"/>
    </xf>
    <xf numFmtId="0" fontId="21" fillId="11" borderId="36" xfId="0" applyFont="1" applyFill="1" applyBorder="1" applyAlignment="1" applyProtection="1">
      <alignment horizontal="left" vertical="center" wrapText="1" indent="1"/>
      <protection hidden="1"/>
    </xf>
    <xf numFmtId="0" fontId="21" fillId="11" borderId="32" xfId="0" applyFont="1" applyFill="1" applyBorder="1" applyAlignment="1" applyProtection="1">
      <alignment horizontal="left" vertical="center" wrapText="1" indent="1"/>
      <protection hidden="1"/>
    </xf>
    <xf numFmtId="0" fontId="22" fillId="17" borderId="38" xfId="0" applyFont="1" applyFill="1" applyBorder="1" applyAlignment="1" applyProtection="1">
      <alignment horizontal="left" vertical="center" indent="1"/>
      <protection hidden="1"/>
    </xf>
    <xf numFmtId="0" fontId="22" fillId="17" borderId="34" xfId="0" applyFont="1" applyFill="1" applyBorder="1" applyAlignment="1" applyProtection="1">
      <alignment horizontal="left" vertical="center" indent="1"/>
      <protection hidden="1"/>
    </xf>
    <xf numFmtId="0" fontId="39" fillId="11" borderId="44" xfId="6" applyFont="1" applyFill="1" applyBorder="1" applyAlignment="1" applyProtection="1">
      <alignment horizontal="left" vertical="center" indent="1"/>
      <protection hidden="1"/>
    </xf>
    <xf numFmtId="0" fontId="39" fillId="11" borderId="40" xfId="6" applyFont="1" applyFill="1" applyBorder="1" applyAlignment="1" applyProtection="1">
      <alignment horizontal="left" vertical="center" indent="1"/>
      <protection hidden="1"/>
    </xf>
    <xf numFmtId="0" fontId="31" fillId="11" borderId="69" xfId="0" applyFont="1" applyFill="1" applyBorder="1" applyAlignment="1">
      <alignment horizontal="center" vertical="center" wrapText="1" readingOrder="1"/>
    </xf>
    <xf numFmtId="0" fontId="31" fillId="11" borderId="32" xfId="0" applyFont="1" applyFill="1" applyBorder="1" applyAlignment="1">
      <alignment horizontal="center" vertical="center" wrapText="1" readingOrder="1"/>
    </xf>
    <xf numFmtId="0" fontId="31" fillId="11" borderId="39" xfId="0" applyFont="1" applyFill="1" applyBorder="1" applyAlignment="1">
      <alignment horizontal="center" vertical="center" wrapText="1" readingOrder="1"/>
    </xf>
    <xf numFmtId="0" fontId="22" fillId="17" borderId="38" xfId="0" applyFont="1" applyFill="1" applyBorder="1" applyAlignment="1" applyProtection="1">
      <alignment horizontal="center" vertical="center" wrapText="1"/>
      <protection hidden="1"/>
    </xf>
    <xf numFmtId="0" fontId="22" fillId="17" borderId="34" xfId="0" applyFont="1" applyFill="1" applyBorder="1" applyAlignment="1" applyProtection="1">
      <alignment horizontal="center" vertical="center" wrapText="1"/>
      <protection hidden="1"/>
    </xf>
    <xf numFmtId="0" fontId="31" fillId="14" borderId="32" xfId="0" applyFont="1" applyFill="1" applyBorder="1" applyAlignment="1">
      <alignment horizontal="center" vertical="center" wrapText="1" readingOrder="1"/>
    </xf>
    <xf numFmtId="0" fontId="22" fillId="17" borderId="27" xfId="0" applyFont="1" applyFill="1" applyBorder="1" applyAlignment="1" applyProtection="1">
      <alignment horizontal="center" vertical="center" wrapText="1"/>
      <protection hidden="1"/>
    </xf>
    <xf numFmtId="0" fontId="59" fillId="11" borderId="74" xfId="0" applyFont="1" applyFill="1" applyBorder="1" applyAlignment="1" applyProtection="1">
      <alignment horizontal="center" vertical="center"/>
      <protection hidden="1"/>
    </xf>
    <xf numFmtId="0" fontId="59" fillId="11" borderId="75" xfId="0" applyFont="1" applyFill="1" applyBorder="1" applyAlignment="1" applyProtection="1">
      <alignment horizontal="center" vertical="center"/>
      <protection hidden="1"/>
    </xf>
    <xf numFmtId="0" fontId="22" fillId="17" borderId="42" xfId="0" applyFont="1" applyFill="1" applyBorder="1" applyAlignment="1" applyProtection="1">
      <alignment horizontal="center" vertical="center" wrapText="1"/>
      <protection hidden="1"/>
    </xf>
    <xf numFmtId="0" fontId="22" fillId="17" borderId="41" xfId="0" applyFont="1" applyFill="1" applyBorder="1" applyAlignment="1" applyProtection="1">
      <alignment horizontal="center" vertical="center" wrapText="1"/>
      <protection hidden="1"/>
    </xf>
    <xf numFmtId="0" fontId="22" fillId="17" borderId="35" xfId="0" applyFont="1" applyFill="1" applyBorder="1" applyAlignment="1" applyProtection="1">
      <alignment horizontal="center" vertical="center"/>
      <protection hidden="1"/>
    </xf>
    <xf numFmtId="0" fontId="22" fillId="17" borderId="36" xfId="0" applyFont="1" applyFill="1" applyBorder="1" applyAlignment="1" applyProtection="1">
      <alignment horizontal="center" vertical="center"/>
      <protection hidden="1"/>
    </xf>
    <xf numFmtId="0" fontId="22" fillId="17" borderId="191" xfId="0" applyFont="1" applyFill="1" applyBorder="1" applyAlignment="1" applyProtection="1">
      <alignment horizontal="center" vertical="center"/>
      <protection hidden="1"/>
    </xf>
    <xf numFmtId="0" fontId="21" fillId="11" borderId="35" xfId="0" applyFont="1" applyFill="1" applyBorder="1" applyAlignment="1" applyProtection="1">
      <alignment horizontal="left" vertical="center" wrapText="1" indent="1"/>
      <protection hidden="1"/>
    </xf>
    <xf numFmtId="0" fontId="21" fillId="11" borderId="33" xfId="0" applyFont="1" applyFill="1" applyBorder="1" applyAlignment="1" applyProtection="1">
      <alignment horizontal="left" vertical="center" wrapText="1" indent="1"/>
      <protection hidden="1"/>
    </xf>
    <xf numFmtId="0" fontId="22" fillId="17" borderId="27" xfId="0" applyFont="1" applyFill="1" applyBorder="1" applyAlignment="1" applyProtection="1">
      <alignment horizontal="left" vertical="center" wrapText="1" indent="1"/>
      <protection hidden="1"/>
    </xf>
    <xf numFmtId="0" fontId="32" fillId="13" borderId="0" xfId="0" applyFont="1" applyFill="1" applyAlignment="1">
      <alignment horizontal="center" vertical="center" wrapText="1" readingOrder="1"/>
    </xf>
    <xf numFmtId="0" fontId="22" fillId="17" borderId="41" xfId="0" applyFont="1" applyFill="1" applyBorder="1" applyAlignment="1" applyProtection="1">
      <alignment horizontal="left" vertical="center" wrapText="1" indent="1"/>
      <protection hidden="1"/>
    </xf>
    <xf numFmtId="0" fontId="22" fillId="17" borderId="42" xfId="0" applyFont="1" applyFill="1" applyBorder="1" applyAlignment="1" applyProtection="1">
      <alignment horizontal="left" vertical="center" indent="1"/>
      <protection hidden="1"/>
    </xf>
    <xf numFmtId="0" fontId="22" fillId="17" borderId="41" xfId="0" applyFont="1" applyFill="1" applyBorder="1" applyAlignment="1" applyProtection="1">
      <alignment horizontal="left" vertical="center" indent="1"/>
      <protection hidden="1"/>
    </xf>
    <xf numFmtId="0" fontId="22" fillId="17" borderId="38" xfId="0" applyFont="1" applyFill="1" applyBorder="1" applyAlignment="1" applyProtection="1">
      <alignment horizontal="center" vertical="center"/>
      <protection hidden="1"/>
    </xf>
    <xf numFmtId="0" fontId="22" fillId="17" borderId="34" xfId="0" applyFont="1" applyFill="1" applyBorder="1" applyAlignment="1" applyProtection="1">
      <alignment horizontal="center" vertical="center"/>
      <protection hidden="1"/>
    </xf>
    <xf numFmtId="0" fontId="31" fillId="14" borderId="0" xfId="0" applyFont="1" applyFill="1" applyAlignment="1">
      <alignment horizontal="center" vertical="center" wrapText="1" readingOrder="1"/>
    </xf>
    <xf numFmtId="0" fontId="31" fillId="11" borderId="94" xfId="0" applyFont="1" applyFill="1" applyBorder="1" applyAlignment="1">
      <alignment horizontal="center" vertical="center" wrapText="1" readingOrder="1"/>
    </xf>
    <xf numFmtId="0" fontId="31" fillId="11" borderId="0" xfId="0" applyFont="1" applyFill="1" applyAlignment="1">
      <alignment horizontal="center" vertical="center" wrapText="1" readingOrder="1"/>
    </xf>
    <xf numFmtId="0" fontId="31" fillId="11" borderId="40" xfId="0" applyFont="1" applyFill="1" applyBorder="1" applyAlignment="1">
      <alignment horizontal="center" vertical="center" wrapText="1" readingOrder="1"/>
    </xf>
    <xf numFmtId="0" fontId="22" fillId="17" borderId="35" xfId="0" applyFont="1" applyFill="1" applyBorder="1" applyAlignment="1" applyProtection="1">
      <alignment horizontal="left" vertical="center" indent="1"/>
      <protection hidden="1"/>
    </xf>
    <xf numFmtId="0" fontId="22" fillId="17" borderId="36" xfId="0" applyFont="1" applyFill="1" applyBorder="1" applyAlignment="1" applyProtection="1">
      <alignment horizontal="left" vertical="center" indent="1"/>
      <protection hidden="1"/>
    </xf>
    <xf numFmtId="0" fontId="22" fillId="17" borderId="191" xfId="0" applyFont="1" applyFill="1" applyBorder="1" applyAlignment="1" applyProtection="1">
      <alignment horizontal="left" vertical="center" indent="1"/>
      <protection hidden="1"/>
    </xf>
    <xf numFmtId="0" fontId="21" fillId="11" borderId="236" xfId="0" applyFont="1" applyFill="1" applyBorder="1" applyAlignment="1" applyProtection="1">
      <alignment horizontal="left" vertical="center" wrapText="1" indent="1"/>
      <protection hidden="1"/>
    </xf>
    <xf numFmtId="0" fontId="21" fillId="11" borderId="59" xfId="0" applyFont="1" applyFill="1" applyBorder="1" applyAlignment="1" applyProtection="1">
      <alignment horizontal="left" vertical="center" wrapText="1" indent="1"/>
      <protection hidden="1"/>
    </xf>
    <xf numFmtId="0" fontId="22" fillId="17" borderId="35" xfId="0" applyFont="1" applyFill="1" applyBorder="1" applyAlignment="1" applyProtection="1">
      <alignment horizontal="center" vertical="center" wrapText="1"/>
      <protection hidden="1"/>
    </xf>
    <xf numFmtId="0" fontId="22" fillId="17" borderId="36" xfId="0" applyFont="1" applyFill="1" applyBorder="1" applyAlignment="1" applyProtection="1">
      <alignment horizontal="center" vertical="center" wrapText="1"/>
      <protection hidden="1"/>
    </xf>
    <xf numFmtId="0" fontId="22" fillId="17" borderId="191" xfId="0" applyFont="1" applyFill="1" applyBorder="1" applyAlignment="1" applyProtection="1">
      <alignment horizontal="center" vertical="center" wrapText="1"/>
      <protection hidden="1"/>
    </xf>
    <xf numFmtId="0" fontId="21" fillId="11" borderId="47" xfId="0" applyFont="1" applyFill="1" applyBorder="1" applyAlignment="1" applyProtection="1">
      <alignment horizontal="left" vertical="center" wrapText="1" indent="1"/>
      <protection hidden="1"/>
    </xf>
    <xf numFmtId="0" fontId="31" fillId="13" borderId="69" xfId="0" applyFont="1" applyFill="1" applyBorder="1" applyAlignment="1">
      <alignment horizontal="center" vertical="center" wrapText="1" readingOrder="1"/>
    </xf>
    <xf numFmtId="0" fontId="1" fillId="7" borderId="140" xfId="0" applyFont="1" applyFill="1" applyBorder="1" applyAlignment="1">
      <alignment horizontal="left" indent="1"/>
    </xf>
    <xf numFmtId="0" fontId="1" fillId="7" borderId="141" xfId="0" applyFont="1" applyFill="1" applyBorder="1" applyAlignment="1">
      <alignment horizontal="center" vertical="center"/>
    </xf>
    <xf numFmtId="0" fontId="1" fillId="7" borderId="151" xfId="0" applyFont="1" applyFill="1" applyBorder="1" applyAlignment="1">
      <alignment horizontal="center" vertical="center"/>
    </xf>
    <xf numFmtId="174" fontId="1" fillId="7" borderId="19" xfId="0" applyNumberFormat="1" applyFont="1" applyFill="1" applyBorder="1" applyAlignment="1">
      <alignment horizontal="center" vertical="center"/>
    </xf>
    <xf numFmtId="174" fontId="1" fillId="7" borderId="20" xfId="0" applyNumberFormat="1" applyFont="1" applyFill="1" applyBorder="1" applyAlignment="1">
      <alignment horizontal="center" vertical="center"/>
    </xf>
    <xf numFmtId="0" fontId="1" fillId="7" borderId="83" xfId="0" applyFont="1" applyFill="1" applyBorder="1" applyAlignment="1">
      <alignment horizontal="left" indent="1"/>
    </xf>
    <xf numFmtId="0" fontId="1" fillId="7" borderId="18" xfId="0" applyFont="1" applyFill="1" applyBorder="1" applyAlignment="1">
      <alignment horizontal="center" vertical="center"/>
    </xf>
    <xf numFmtId="0" fontId="1" fillId="7" borderId="118" xfId="0" applyFont="1" applyFill="1" applyBorder="1" applyAlignment="1">
      <alignment horizontal="center" vertical="center"/>
    </xf>
    <xf numFmtId="0" fontId="1" fillId="7" borderId="67" xfId="0" applyFont="1" applyFill="1" applyBorder="1" applyAlignment="1">
      <alignment horizontal="center" vertical="center"/>
    </xf>
    <xf numFmtId="174" fontId="1" fillId="7" borderId="25" xfId="0" applyNumberFormat="1" applyFont="1" applyFill="1" applyBorder="1" applyAlignment="1">
      <alignment horizontal="center" vertical="center"/>
    </xf>
    <xf numFmtId="174" fontId="1" fillId="7" borderId="26" xfId="0" applyNumberFormat="1" applyFont="1" applyFill="1" applyBorder="1" applyAlignment="1">
      <alignment horizontal="center" vertical="center"/>
    </xf>
    <xf numFmtId="0" fontId="1" fillId="7" borderId="24" xfId="0" applyFont="1" applyFill="1" applyBorder="1" applyAlignment="1">
      <alignment horizontal="center" vertical="center"/>
    </xf>
    <xf numFmtId="0" fontId="1" fillId="7" borderId="112" xfId="0" applyFont="1" applyFill="1" applyBorder="1" applyAlignment="1">
      <alignment horizontal="left" indent="1"/>
    </xf>
    <xf numFmtId="0" fontId="1" fillId="7" borderId="21" xfId="0" applyFont="1" applyFill="1" applyBorder="1" applyAlignment="1">
      <alignment horizontal="center" vertical="center"/>
    </xf>
    <xf numFmtId="0" fontId="1" fillId="7" borderId="114" xfId="0" applyFont="1" applyFill="1" applyBorder="1" applyAlignment="1">
      <alignment horizontal="center" vertical="center"/>
    </xf>
    <xf numFmtId="0" fontId="1" fillId="7" borderId="116" xfId="0" applyFont="1" applyFill="1" applyBorder="1" applyAlignment="1">
      <alignment horizontal="left" indent="1"/>
    </xf>
    <xf numFmtId="0" fontId="1" fillId="7" borderId="27" xfId="0" applyFont="1" applyFill="1" applyBorder="1" applyAlignment="1">
      <alignment horizontal="center" vertical="center"/>
    </xf>
    <xf numFmtId="0" fontId="1" fillId="7" borderId="191" xfId="0" applyFont="1" applyFill="1" applyBorder="1" applyAlignment="1">
      <alignment horizontal="center" vertical="center"/>
    </xf>
    <xf numFmtId="0" fontId="1" fillId="7" borderId="83" xfId="0" applyFont="1" applyFill="1" applyBorder="1" applyAlignment="1">
      <alignment horizontal="left" vertical="center" indent="1"/>
    </xf>
    <xf numFmtId="0" fontId="1" fillId="7" borderId="116" xfId="0" applyFont="1" applyFill="1" applyBorder="1" applyAlignment="1">
      <alignment horizontal="left" vertical="center" indent="1"/>
    </xf>
    <xf numFmtId="0" fontId="1" fillId="7" borderId="84" xfId="0" applyFont="1" applyFill="1" applyBorder="1" applyAlignment="1">
      <alignment horizontal="left" indent="1"/>
    </xf>
    <xf numFmtId="0" fontId="1" fillId="7" borderId="28" xfId="0" applyFont="1" applyFill="1" applyBorder="1" applyAlignment="1">
      <alignment horizontal="center" vertical="center"/>
    </xf>
    <xf numFmtId="0" fontId="1" fillId="7" borderId="51" xfId="0" applyFont="1" applyFill="1" applyBorder="1" applyAlignment="1">
      <alignment horizontal="center" vertical="center"/>
    </xf>
    <xf numFmtId="0" fontId="1" fillId="7" borderId="182" xfId="0" applyFont="1" applyFill="1" applyBorder="1" applyAlignment="1">
      <alignment horizontal="left" indent="1"/>
    </xf>
    <xf numFmtId="0" fontId="1" fillId="7" borderId="14" xfId="0" applyFont="1" applyFill="1" applyBorder="1" applyAlignment="1">
      <alignment horizontal="center" vertical="center"/>
    </xf>
    <xf numFmtId="0" fontId="1" fillId="7" borderId="117" xfId="0" applyFont="1" applyFill="1" applyBorder="1" applyAlignment="1">
      <alignment horizontal="center" vertical="center"/>
    </xf>
    <xf numFmtId="0" fontId="1" fillId="7" borderId="85" xfId="0" applyFont="1" applyFill="1" applyBorder="1" applyAlignment="1">
      <alignment horizontal="left" indent="1"/>
    </xf>
    <xf numFmtId="0" fontId="1" fillId="7" borderId="150" xfId="0" applyFont="1" applyFill="1" applyBorder="1" applyAlignment="1">
      <alignment horizontal="left" indent="1"/>
    </xf>
    <xf numFmtId="0" fontId="1" fillId="7" borderId="189" xfId="0" applyFont="1" applyFill="1" applyBorder="1" applyAlignment="1">
      <alignment horizontal="left" indent="1"/>
    </xf>
    <xf numFmtId="0" fontId="1" fillId="7" borderId="126" xfId="0" applyFont="1" applyFill="1" applyBorder="1" applyAlignment="1">
      <alignment horizontal="center" vertical="center"/>
    </xf>
    <xf numFmtId="0" fontId="1" fillId="7" borderId="120" xfId="0" applyFont="1" applyFill="1" applyBorder="1" applyAlignment="1">
      <alignment horizontal="center" vertical="center"/>
    </xf>
    <xf numFmtId="0" fontId="1" fillId="7" borderId="154" xfId="0" applyFont="1" applyFill="1" applyBorder="1" applyAlignment="1">
      <alignment horizontal="left" indent="1"/>
    </xf>
    <xf numFmtId="0" fontId="1" fillId="7" borderId="153" xfId="0" applyFont="1" applyFill="1" applyBorder="1" applyAlignment="1">
      <alignment horizontal="left" indent="1"/>
    </xf>
    <xf numFmtId="0" fontId="1" fillId="7" borderId="48" xfId="0" applyFont="1" applyFill="1" applyBorder="1" applyAlignment="1">
      <alignment horizontal="center" vertical="center"/>
    </xf>
    <xf numFmtId="0" fontId="1" fillId="7" borderId="59" xfId="0" applyFont="1" applyFill="1" applyBorder="1" applyAlignment="1">
      <alignment horizontal="center" vertical="center"/>
    </xf>
    <xf numFmtId="0" fontId="1" fillId="7" borderId="150" xfId="2" applyFont="1" applyFill="1" applyBorder="1" applyAlignment="1">
      <alignment horizontal="left" indent="1"/>
    </xf>
    <xf numFmtId="0" fontId="1" fillId="7" borderId="207" xfId="0" applyFont="1" applyFill="1" applyBorder="1" applyAlignment="1">
      <alignment horizontal="left" indent="1"/>
    </xf>
    <xf numFmtId="0" fontId="1" fillId="7" borderId="95" xfId="0" applyFont="1" applyFill="1" applyBorder="1" applyAlignment="1">
      <alignment horizontal="left" indent="1"/>
    </xf>
    <xf numFmtId="0" fontId="1" fillId="7" borderId="129" xfId="0" applyFont="1" applyFill="1" applyBorder="1" applyAlignment="1">
      <alignment horizontal="left" vertical="center" indent="1"/>
    </xf>
    <xf numFmtId="0" fontId="1" fillId="7" borderId="153" xfId="0" applyFont="1" applyFill="1" applyBorder="1" applyAlignment="1">
      <alignment horizontal="left" vertical="center" indent="1"/>
    </xf>
    <xf numFmtId="0" fontId="1" fillId="7" borderId="85" xfId="0" applyFont="1" applyFill="1" applyBorder="1" applyAlignment="1">
      <alignment horizontal="left" vertical="center" indent="1"/>
    </xf>
    <xf numFmtId="0" fontId="1" fillId="7" borderId="154" xfId="0" applyFont="1" applyFill="1" applyBorder="1" applyAlignment="1">
      <alignment horizontal="left" vertical="center" indent="1"/>
    </xf>
    <xf numFmtId="0" fontId="1" fillId="7" borderId="208" xfId="0" applyFont="1" applyFill="1" applyBorder="1" applyAlignment="1">
      <alignment horizontal="left" indent="1"/>
    </xf>
    <xf numFmtId="0" fontId="1" fillId="7" borderId="209" xfId="0" applyFont="1" applyFill="1" applyBorder="1" applyAlignment="1">
      <alignment horizontal="left" indent="1"/>
    </xf>
    <xf numFmtId="0" fontId="1" fillId="7" borderId="210" xfId="0" applyFont="1" applyFill="1" applyBorder="1" applyAlignment="1">
      <alignment horizontal="left" indent="1"/>
    </xf>
    <xf numFmtId="0" fontId="1" fillId="7" borderId="211" xfId="0" applyFont="1" applyFill="1" applyBorder="1" applyAlignment="1">
      <alignment horizontal="left" indent="1"/>
    </xf>
    <xf numFmtId="0" fontId="1" fillId="7" borderId="121" xfId="0" applyFont="1" applyFill="1" applyBorder="1" applyAlignment="1">
      <alignment horizontal="center" vertical="center"/>
    </xf>
    <xf numFmtId="0" fontId="1" fillId="7" borderId="86" xfId="0" applyFont="1" applyFill="1" applyBorder="1" applyAlignment="1">
      <alignment horizontal="center" vertical="center"/>
    </xf>
    <xf numFmtId="0" fontId="1" fillId="7" borderId="207" xfId="0" applyFont="1" applyFill="1" applyBorder="1" applyAlignment="1">
      <alignment horizontal="center" vertical="center"/>
    </xf>
    <xf numFmtId="0" fontId="1" fillId="7" borderId="87" xfId="0" applyFont="1" applyFill="1" applyBorder="1" applyAlignment="1">
      <alignment horizontal="center" vertical="center"/>
    </xf>
    <xf numFmtId="0" fontId="1" fillId="7" borderId="88" xfId="0" applyFont="1" applyFill="1" applyBorder="1" applyAlignment="1">
      <alignment horizontal="center" vertical="center"/>
    </xf>
    <xf numFmtId="0" fontId="1" fillId="7" borderId="119" xfId="0" applyFont="1" applyFill="1" applyBorder="1" applyAlignment="1">
      <alignment horizontal="center" vertical="center"/>
    </xf>
    <xf numFmtId="0" fontId="1" fillId="7" borderId="242" xfId="0" applyFont="1" applyFill="1" applyBorder="1" applyAlignment="1">
      <alignment horizontal="center" vertical="center"/>
    </xf>
    <xf numFmtId="0" fontId="1" fillId="7" borderId="241" xfId="0" applyFont="1" applyFill="1" applyBorder="1" applyAlignment="1">
      <alignment horizontal="center" vertical="center"/>
    </xf>
    <xf numFmtId="0" fontId="1" fillId="7" borderId="85" xfId="2" applyFont="1" applyFill="1" applyBorder="1" applyAlignment="1">
      <alignment horizontal="left" indent="1"/>
    </xf>
    <xf numFmtId="0" fontId="1" fillId="7" borderId="212" xfId="0" applyFont="1" applyFill="1" applyBorder="1" applyAlignment="1">
      <alignment horizontal="left" indent="1"/>
    </xf>
    <xf numFmtId="0" fontId="1" fillId="7" borderId="35" xfId="0" applyFont="1" applyFill="1" applyBorder="1" applyAlignment="1">
      <alignment horizontal="center" vertical="center"/>
    </xf>
    <xf numFmtId="171" fontId="1" fillId="6" borderId="52" xfId="7" applyNumberFormat="1" applyFont="1" applyFill="1" applyBorder="1" applyAlignment="1" applyProtection="1">
      <alignment horizontal="center"/>
      <protection hidden="1"/>
    </xf>
    <xf numFmtId="171" fontId="1" fillId="7" borderId="53" xfId="7" applyNumberFormat="1" applyFont="1" applyFill="1" applyBorder="1" applyAlignment="1" applyProtection="1">
      <alignment horizontal="center"/>
      <protection hidden="1"/>
    </xf>
    <xf numFmtId="171" fontId="1" fillId="6" borderId="53" xfId="7" applyNumberFormat="1" applyFont="1" applyFill="1" applyBorder="1" applyAlignment="1" applyProtection="1">
      <alignment horizontal="center"/>
      <protection hidden="1"/>
    </xf>
    <xf numFmtId="171" fontId="1" fillId="7" borderId="54" xfId="7" applyNumberFormat="1" applyFont="1" applyFill="1" applyBorder="1" applyAlignment="1" applyProtection="1">
      <alignment horizontal="center"/>
      <protection hidden="1"/>
    </xf>
    <xf numFmtId="4" fontId="1" fillId="6" borderId="13" xfId="7" applyNumberFormat="1" applyFont="1" applyFill="1" applyBorder="1" applyAlignment="1" applyProtection="1">
      <alignment horizontal="center"/>
      <protection hidden="1"/>
    </xf>
    <xf numFmtId="4" fontId="1" fillId="6" borderId="52" xfId="7" applyNumberFormat="1" applyFont="1" applyFill="1" applyBorder="1" applyAlignment="1" applyProtection="1">
      <alignment horizontal="center"/>
      <protection hidden="1"/>
    </xf>
    <xf numFmtId="4" fontId="1" fillId="31" borderId="17" xfId="7" applyNumberFormat="1" applyFont="1" applyFill="1" applyBorder="1" applyAlignment="1" applyProtection="1">
      <alignment horizontal="center"/>
      <protection hidden="1"/>
    </xf>
    <xf numFmtId="4" fontId="1" fillId="31" borderId="53" xfId="7" applyNumberFormat="1" applyFont="1" applyFill="1" applyBorder="1" applyAlignment="1" applyProtection="1">
      <alignment horizontal="center"/>
      <protection hidden="1"/>
    </xf>
    <xf numFmtId="4" fontId="1" fillId="6" borderId="17" xfId="7" applyNumberFormat="1" applyFont="1" applyFill="1" applyBorder="1" applyAlignment="1" applyProtection="1">
      <alignment horizontal="center"/>
      <protection hidden="1"/>
    </xf>
    <xf numFmtId="4" fontId="1" fillId="6" borderId="53" xfId="7" applyNumberFormat="1" applyFont="1" applyFill="1" applyBorder="1" applyAlignment="1" applyProtection="1">
      <alignment horizontal="center"/>
      <protection hidden="1"/>
    </xf>
    <xf numFmtId="4" fontId="1" fillId="31" borderId="11" xfId="7" applyNumberFormat="1" applyFont="1" applyFill="1" applyBorder="1" applyAlignment="1" applyProtection="1">
      <alignment horizontal="center"/>
      <protection hidden="1"/>
    </xf>
    <xf numFmtId="4" fontId="1" fillId="31" borderId="54" xfId="7" applyNumberFormat="1" applyFont="1" applyFill="1" applyBorder="1" applyAlignment="1" applyProtection="1">
      <alignment horizontal="center"/>
      <protection hidden="1"/>
    </xf>
  </cellXfs>
  <cellStyles count="14">
    <cellStyle name="Comma" xfId="7" builtinId="3"/>
    <cellStyle name="Comma 2" xfId="4" xr:uid="{00000000-0005-0000-0000-000001000000}"/>
    <cellStyle name="Currency" xfId="1" builtinId="4"/>
    <cellStyle name="Hyperlink" xfId="6" builtinId="8"/>
    <cellStyle name="Hyperlink 2" xfId="5" xr:uid="{00000000-0005-0000-0000-000004000000}"/>
    <cellStyle name="Normal" xfId="0" builtinId="0"/>
    <cellStyle name="Normal 2" xfId="2" xr:uid="{00000000-0005-0000-0000-000006000000}"/>
    <cellStyle name="Normal 2 2" xfId="10" xr:uid="{ADC5C3FD-34D5-412E-A20D-905B0A824437}"/>
    <cellStyle name="Normal 2 3" xfId="11" xr:uid="{C46D9221-ACFF-4E57-BB69-3545D3CF87D6}"/>
    <cellStyle name="Normal 2 3 2" xfId="13" xr:uid="{7B3CED8F-85B2-4334-81A4-21B6CDF987E3}"/>
    <cellStyle name="Normal 2 4" xfId="9" xr:uid="{C0089A26-C903-40FC-B014-EB392BE17661}"/>
    <cellStyle name="Normal 2 5" xfId="12" xr:uid="{1CBD5A6B-8F97-4495-9B1B-C02CFF102DA5}"/>
    <cellStyle name="Per cent" xfId="8" builtinId="5"/>
    <cellStyle name="Percent 2" xfId="3" xr:uid="{00000000-0005-0000-0000-000007000000}"/>
  </cellStyles>
  <dxfs count="4">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3882"/>
      <color rgb="FFF0F5FF"/>
      <color rgb="FFEEF3FF"/>
      <color rgb="FFECF1FF"/>
      <color rgb="FFEDF2FF"/>
      <color rgb="FFFFFFFF"/>
      <color rgb="FF001F4D"/>
      <color rgb="FF003B92"/>
      <color rgb="FF003178"/>
      <color rgb="FFB9D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0</xdr:row>
      <xdr:rowOff>127000</xdr:rowOff>
    </xdr:from>
    <xdr:to>
      <xdr:col>0</xdr:col>
      <xdr:colOff>21590</xdr:colOff>
      <xdr:row>5</xdr:row>
      <xdr:rowOff>210878</xdr:rowOff>
    </xdr:to>
    <xdr:pic>
      <xdr:nvPicPr>
        <xdr:cNvPr id="3" name="Picture 2">
          <a:extLst>
            <a:ext uri="{FF2B5EF4-FFF2-40B4-BE49-F238E27FC236}">
              <a16:creationId xmlns:a16="http://schemas.microsoft.com/office/drawing/2014/main" id="{2AC33F85-52D2-4D03-9E85-C03344BFF87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8565"/>
        <a:stretch/>
      </xdr:blipFill>
      <xdr:spPr>
        <a:xfrm>
          <a:off x="15240" y="129540"/>
          <a:ext cx="7923179" cy="770585"/>
        </a:xfrm>
        <a:prstGeom prst="rect">
          <a:avLst/>
        </a:prstGeom>
      </xdr:spPr>
    </xdr:pic>
    <xdr:clientData/>
  </xdr:twoCellAnchor>
  <xdr:twoCellAnchor editAs="oneCell">
    <xdr:from>
      <xdr:col>0</xdr:col>
      <xdr:colOff>37011</xdr:colOff>
      <xdr:row>0</xdr:row>
      <xdr:rowOff>0</xdr:rowOff>
    </xdr:from>
    <xdr:to>
      <xdr:col>2</xdr:col>
      <xdr:colOff>7109278</xdr:colOff>
      <xdr:row>0</xdr:row>
      <xdr:rowOff>1012934</xdr:rowOff>
    </xdr:to>
    <xdr:pic>
      <xdr:nvPicPr>
        <xdr:cNvPr id="4" name="Picture 3">
          <a:extLst>
            <a:ext uri="{FF2B5EF4-FFF2-40B4-BE49-F238E27FC236}">
              <a16:creationId xmlns:a16="http://schemas.microsoft.com/office/drawing/2014/main" id="{FAB7AB77-D8B7-40EC-AD7F-F9D37074480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8565"/>
        <a:stretch/>
      </xdr:blipFill>
      <xdr:spPr>
        <a:xfrm>
          <a:off x="37011" y="0"/>
          <a:ext cx="10652760" cy="10142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12700</xdr:colOff>
      <xdr:row>0</xdr:row>
      <xdr:rowOff>127000</xdr:rowOff>
    </xdr:from>
    <xdr:to>
      <xdr:col>2</xdr:col>
      <xdr:colOff>4706269</xdr:colOff>
      <xdr:row>0</xdr:row>
      <xdr:rowOff>898855</xdr:rowOff>
    </xdr:to>
    <xdr:pic>
      <xdr:nvPicPr>
        <xdr:cNvPr id="5" name="Picture 4">
          <a:extLst>
            <a:ext uri="{FF2B5EF4-FFF2-40B4-BE49-F238E27FC236}">
              <a16:creationId xmlns:a16="http://schemas.microsoft.com/office/drawing/2014/main" id="{AB2FB5CC-2975-754E-A02E-54494BF4FB1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8565"/>
        <a:stretch/>
      </xdr:blipFill>
      <xdr:spPr>
        <a:xfrm>
          <a:off x="12700" y="127000"/>
          <a:ext cx="8699500" cy="7578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438150</xdr:colOff>
      <xdr:row>0</xdr:row>
      <xdr:rowOff>857250</xdr:rowOff>
    </xdr:to>
    <xdr:pic>
      <xdr:nvPicPr>
        <xdr:cNvPr id="4" name="Picture 2">
          <a:extLst>
            <a:ext uri="{FF2B5EF4-FFF2-40B4-BE49-F238E27FC236}">
              <a16:creationId xmlns:a16="http://schemas.microsoft.com/office/drawing/2014/main" id="{482728C1-CF54-4794-AB79-DF0DDF8AB9A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8565"/>
        <a:stretch/>
      </xdr:blipFill>
      <xdr:spPr>
        <a:xfrm>
          <a:off x="0" y="0"/>
          <a:ext cx="8877300" cy="85725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1">
    <v>7</v>
    <v>8</v>
    <v>0</v>
    <v>6</v>
  </rv>
  <rv s="2">
    <v>8</v>
    <v>1</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error">
    <k n="errorType" t="i"/>
    <k n="propagated" t="b"/>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cronis.com/en-us/company/licensing/"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cronis.com/en-us/company/licensing/"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cronis.com/en-us/company/licensing/"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49B8F-F699-4B3F-992B-50F8D4D10FEB}">
  <sheetPr>
    <tabColor rgb="FF003B92"/>
  </sheetPr>
  <dimension ref="A1:AG121"/>
  <sheetViews>
    <sheetView zoomScale="70" zoomScaleNormal="70" workbookViewId="0">
      <selection activeCell="E19" sqref="E19"/>
    </sheetView>
  </sheetViews>
  <sheetFormatPr defaultColWidth="0" defaultRowHeight="0" customHeight="1" zeroHeight="1"/>
  <cols>
    <col min="1" max="2" width="25.5703125" style="4" customWidth="1"/>
    <col min="3" max="3" width="120.85546875" style="4" customWidth="1"/>
    <col min="4" max="4" width="20.42578125" style="4" customWidth="1"/>
    <col min="5" max="5" width="16.42578125" style="4" customWidth="1"/>
    <col min="6" max="6" width="29.28515625" style="4" customWidth="1"/>
    <col min="7" max="7" width="30.7109375" style="4" customWidth="1"/>
    <col min="8" max="10" width="9.42578125" style="4" hidden="1" customWidth="1"/>
    <col min="11" max="33" width="0" style="4" hidden="1" customWidth="1"/>
    <col min="34" max="16384" width="8.85546875" style="4" hidden="1"/>
  </cols>
  <sheetData>
    <row r="1" spans="1:33" ht="83.45" customHeight="1">
      <c r="A1" s="142"/>
      <c r="B1" s="142"/>
      <c r="C1" s="142"/>
      <c r="D1" s="142"/>
      <c r="E1" s="652"/>
      <c r="F1" s="652"/>
      <c r="G1" s="652"/>
      <c r="H1" s="498"/>
      <c r="J1"/>
      <c r="K1"/>
      <c r="L1"/>
      <c r="M1"/>
      <c r="N1"/>
      <c r="O1"/>
      <c r="P1"/>
      <c r="Q1"/>
      <c r="Y1"/>
      <c r="Z1"/>
      <c r="AA1"/>
      <c r="AB1"/>
      <c r="AC1"/>
      <c r="AD1"/>
      <c r="AE1"/>
      <c r="AF1"/>
      <c r="AG1"/>
    </row>
    <row r="2" spans="1:33" ht="33.950000000000003" hidden="1" customHeight="1">
      <c r="A2" s="371" t="s">
        <v>0</v>
      </c>
      <c r="B2" s="419" t="s">
        <v>1</v>
      </c>
      <c r="C2" s="142"/>
      <c r="D2" s="142"/>
      <c r="E2" s="363"/>
      <c r="F2" s="363"/>
      <c r="G2" s="363"/>
      <c r="H2" s="497"/>
    </row>
    <row r="3" spans="1:33" ht="33.950000000000003" hidden="1" customHeight="1">
      <c r="A3" s="371" t="s">
        <v>2</v>
      </c>
      <c r="B3" s="374" t="s">
        <v>1</v>
      </c>
      <c r="C3" s="142"/>
      <c r="D3" s="142"/>
      <c r="E3" s="363"/>
      <c r="F3" s="363"/>
      <c r="G3" s="363"/>
      <c r="H3" s="497"/>
    </row>
    <row r="4" spans="1:33" ht="51.95" customHeight="1" thickBot="1">
      <c r="A4" s="737" t="s">
        <v>3</v>
      </c>
      <c r="B4" s="738"/>
      <c r="C4" s="738"/>
      <c r="D4" s="142"/>
      <c r="E4" s="675" t="str">
        <f>IF(E5&lt;&gt;'Service-based'!E3,"Monthly minimum commitment inconsistency. Select the same commitment for both licensing options","")</f>
        <v/>
      </c>
      <c r="F4" s="733"/>
      <c r="G4" s="733"/>
      <c r="H4" s="498"/>
    </row>
    <row r="5" spans="1:33" ht="22.35" customHeight="1" thickBot="1">
      <c r="A5" s="453" t="s">
        <v>4</v>
      </c>
      <c r="B5" s="454"/>
      <c r="C5" s="454"/>
      <c r="D5" s="496">
        <f ca="1">MATCH(E5,INDIRECT("'Pricelist "&amp;$B$3&amp;"'!$G$2:$N$2"),0)</f>
        <v>1</v>
      </c>
      <c r="E5" s="616">
        <v>250</v>
      </c>
      <c r="F5" s="664" t="str" cm="1">
        <f t="array" aca="1" ref="F5" ca="1">IFERROR(IF(AND(B3="JPY",E5=30000),"Only for SPs that already have this commitment",IF(D5=1,IF(G53&gt;'Calculator +1 tier'!F118,"Recommended to switch to higher commitment",""),IF(AND(D5=8,'Calculator -1 tier'!F117&gt;INDIRECT("'Pricelist "&amp;B3&amp;"'!N2")),"",IF(G53&gt;'Calculator -1 tier'!F118,"Recommended to switch to lower commitment",IF(G53&gt;'Calculator +1 tier'!F118,"Recommended to switch to higher commitment",""))))),"")</f>
        <v/>
      </c>
      <c r="G5" s="665"/>
      <c r="H5" s="498"/>
    </row>
    <row r="6" spans="1:33" ht="24.6" customHeight="1" thickBot="1">
      <c r="A6" s="455" t="s">
        <v>5</v>
      </c>
      <c r="B6" s="456"/>
      <c r="C6" s="701"/>
      <c r="D6" s="732"/>
      <c r="E6" s="535" t="s">
        <v>6</v>
      </c>
      <c r="F6" s="723" t="str">
        <f>IF(E6&lt;&gt;'Service-based'!E4,"Select the same DC group for both licensing options","")</f>
        <v/>
      </c>
      <c r="G6" s="724"/>
      <c r="H6" s="497"/>
    </row>
    <row r="7" spans="1:33" ht="30.95" customHeight="1" thickBot="1">
      <c r="A7" s="734" t="s">
        <v>7</v>
      </c>
      <c r="B7" s="735"/>
      <c r="C7" s="736"/>
      <c r="D7" s="533" t="s">
        <v>8</v>
      </c>
      <c r="E7" s="534" t="s">
        <v>9</v>
      </c>
      <c r="F7" s="536" t="s">
        <v>10</v>
      </c>
      <c r="G7" s="536" t="s">
        <v>11</v>
      </c>
      <c r="H7" s="498"/>
    </row>
    <row r="8" spans="1:33" ht="19.5" customHeight="1">
      <c r="A8" s="745" t="s">
        <v>12</v>
      </c>
      <c r="B8" s="746"/>
      <c r="C8" s="156" t="s">
        <v>13</v>
      </c>
      <c r="D8" s="757" t="s">
        <v>14</v>
      </c>
      <c r="E8" s="104"/>
      <c r="F8" s="537" t="str">
        <f ca="1">IF(E8&gt;0,IFERROR(SUMIFS(INDIRECT("'Pricelist "&amp;$B$3&amp;"'!$"&amp;CHAR(70+$D$5)&amp;"$3:$"&amp;CHAR(70+$D$5)&amp;"$130"),INDIRECT("'Pricelist "&amp;$B$3&amp;"'!$O$3:$O$130"),C8),"Pricelist not found"),"")</f>
        <v/>
      </c>
      <c r="G8" s="567" t="str">
        <f t="shared" ref="G8:G33" ca="1" si="0">IFERROR(E8*F8,"")</f>
        <v/>
      </c>
      <c r="H8" s="498"/>
    </row>
    <row r="9" spans="1:33" ht="19.5" customHeight="1">
      <c r="A9" s="747"/>
      <c r="B9" s="748"/>
      <c r="C9" s="117" t="s">
        <v>15</v>
      </c>
      <c r="D9" s="757"/>
      <c r="E9" s="107"/>
      <c r="F9" s="538" t="str">
        <f ca="1">IF(E9&gt;0,IFERROR(SUMIFS(INDIRECT("'Pricelist "&amp;$B$3&amp;"'!$"&amp;CHAR(70+$D$5)&amp;"$3:$"&amp;CHAR(70+$D$5)&amp;"$130"),INDIRECT("'Pricelist "&amp;$B$3&amp;"'!$O$3:$O$130"),C9),"Pricelist not found"),"")</f>
        <v/>
      </c>
      <c r="G9" s="562" t="str">
        <f t="shared" ca="1" si="0"/>
        <v/>
      </c>
      <c r="H9" s="498"/>
    </row>
    <row r="10" spans="1:33" ht="19.5" customHeight="1" thickBot="1">
      <c r="A10" s="749"/>
      <c r="B10" s="750"/>
      <c r="C10" s="116" t="s">
        <v>16</v>
      </c>
      <c r="D10" s="758"/>
      <c r="E10" s="104"/>
      <c r="F10" s="539" t="str">
        <f ca="1">IF(E10&gt;0,IFERROR(SUMIFS(INDIRECT("'Pricelist "&amp;$B$3&amp;"'!$"&amp;CHAR(70+$D$5)&amp;"$3:$"&amp;CHAR(70+$D$5)&amp;"$130"),INDIRECT("'Pricelist "&amp;$B$3&amp;"'!$O$3:$O$130"),C10),"Pricelist not found"),"")</f>
        <v/>
      </c>
      <c r="G10" s="568" t="str">
        <f t="shared" ca="1" si="0"/>
        <v/>
      </c>
      <c r="H10" s="498"/>
    </row>
    <row r="11" spans="1:33" s="121" customFormat="1" ht="19.5" customHeight="1">
      <c r="A11" s="751" t="s">
        <v>17</v>
      </c>
      <c r="B11" s="752"/>
      <c r="C11" s="113" t="s">
        <v>18</v>
      </c>
      <c r="D11" s="703" t="s">
        <v>14</v>
      </c>
      <c r="E11" s="108"/>
      <c r="F11" s="540" t="str">
        <f t="shared" ref="F11:F21" ca="1" si="1">IF(E11&gt;0,IFERROR(SUMIFS(INDIRECT("'Pricelist "&amp;$B$3&amp;"'!$"&amp;CHAR(70+$D$5)&amp;"$3:$"&amp;CHAR(70+$D$5)&amp;"$130"),INDIRECT("'Pricelist "&amp;$B$3&amp;"'!$O$3:$O$130"),C11,INDIRECT("'Pricelist "&amp;$B$3&amp;"'!$E$3:$E$130"),$E$6),"Pricelist not found"),"")</f>
        <v/>
      </c>
      <c r="G11" s="569" t="str">
        <f t="shared" ca="1" si="0"/>
        <v/>
      </c>
      <c r="H11" s="499"/>
    </row>
    <row r="12" spans="1:33" ht="19.5" customHeight="1">
      <c r="A12" s="728"/>
      <c r="B12" s="753"/>
      <c r="C12" s="124" t="s">
        <v>19</v>
      </c>
      <c r="D12" s="704"/>
      <c r="E12" s="104"/>
      <c r="F12" s="541" t="str">
        <f t="shared" ca="1" si="1"/>
        <v/>
      </c>
      <c r="G12" s="570" t="str">
        <f t="shared" ca="1" si="0"/>
        <v/>
      </c>
      <c r="H12" s="498"/>
    </row>
    <row r="13" spans="1:33" ht="19.5" customHeight="1">
      <c r="A13" s="728"/>
      <c r="B13" s="753"/>
      <c r="C13" s="123" t="s">
        <v>20</v>
      </c>
      <c r="D13" s="704"/>
      <c r="E13" s="107"/>
      <c r="F13" s="538" t="str">
        <f t="shared" ca="1" si="1"/>
        <v/>
      </c>
      <c r="G13" s="562" t="str">
        <f t="shared" ca="1" si="0"/>
        <v/>
      </c>
      <c r="H13" s="498"/>
    </row>
    <row r="14" spans="1:33" ht="19.5" customHeight="1">
      <c r="A14" s="728"/>
      <c r="B14" s="753"/>
      <c r="C14" s="124" t="s">
        <v>21</v>
      </c>
      <c r="D14" s="704"/>
      <c r="E14" s="104"/>
      <c r="F14" s="541" t="str">
        <f t="shared" ca="1" si="1"/>
        <v/>
      </c>
      <c r="G14" s="570" t="str">
        <f t="shared" ca="1" si="0"/>
        <v/>
      </c>
      <c r="H14" s="498"/>
    </row>
    <row r="15" spans="1:33" ht="19.5" customHeight="1">
      <c r="A15" s="728"/>
      <c r="B15" s="753"/>
      <c r="C15" s="123" t="s">
        <v>22</v>
      </c>
      <c r="D15" s="704"/>
      <c r="E15" s="107"/>
      <c r="F15" s="538" t="str">
        <f t="shared" ca="1" si="1"/>
        <v/>
      </c>
      <c r="G15" s="562" t="str">
        <f t="shared" ca="1" si="0"/>
        <v/>
      </c>
      <c r="H15" s="498"/>
    </row>
    <row r="16" spans="1:33" s="122" customFormat="1" ht="19.5" customHeight="1" thickBot="1">
      <c r="A16" s="730"/>
      <c r="B16" s="754"/>
      <c r="C16" s="164" t="s">
        <v>23</v>
      </c>
      <c r="D16" s="705"/>
      <c r="E16" s="106"/>
      <c r="F16" s="542" t="str">
        <f t="shared" ca="1" si="1"/>
        <v/>
      </c>
      <c r="G16" s="571" t="str">
        <f t="shared" ca="1" si="0"/>
        <v/>
      </c>
      <c r="H16" s="500"/>
    </row>
    <row r="17" spans="1:8" ht="19.5" customHeight="1">
      <c r="A17" s="751" t="s">
        <v>24</v>
      </c>
      <c r="B17" s="752"/>
      <c r="C17" s="163" t="s">
        <v>25</v>
      </c>
      <c r="D17" s="759" t="s">
        <v>14</v>
      </c>
      <c r="E17" s="108"/>
      <c r="F17" s="540" t="str">
        <f t="shared" ca="1" si="1"/>
        <v/>
      </c>
      <c r="G17" s="569" t="str">
        <f t="shared" ca="1" si="0"/>
        <v/>
      </c>
      <c r="H17" s="498"/>
    </row>
    <row r="18" spans="1:8" ht="19.5" customHeight="1">
      <c r="A18" s="728"/>
      <c r="B18" s="753"/>
      <c r="C18" s="112" t="s">
        <v>26</v>
      </c>
      <c r="D18" s="760"/>
      <c r="E18" s="104"/>
      <c r="F18" s="543" t="str">
        <f t="shared" ca="1" si="1"/>
        <v/>
      </c>
      <c r="G18" s="572" t="str">
        <f t="shared" ca="1" si="0"/>
        <v/>
      </c>
      <c r="H18" s="498"/>
    </row>
    <row r="19" spans="1:8" ht="19.5" customHeight="1">
      <c r="A19" s="728"/>
      <c r="B19" s="753"/>
      <c r="C19" s="163" t="s">
        <v>27</v>
      </c>
      <c r="D19" s="760"/>
      <c r="E19" s="107"/>
      <c r="F19" s="538" t="str">
        <f t="shared" ca="1" si="1"/>
        <v/>
      </c>
      <c r="G19" s="562" t="str">
        <f t="shared" ca="1" si="0"/>
        <v/>
      </c>
      <c r="H19" s="498"/>
    </row>
    <row r="20" spans="1:8" ht="19.5" customHeight="1">
      <c r="A20" s="728"/>
      <c r="B20" s="753"/>
      <c r="C20" s="112" t="s">
        <v>28</v>
      </c>
      <c r="D20" s="760"/>
      <c r="E20" s="104"/>
      <c r="F20" s="543" t="str">
        <f t="shared" ca="1" si="1"/>
        <v/>
      </c>
      <c r="G20" s="572" t="str">
        <f t="shared" ca="1" si="0"/>
        <v/>
      </c>
      <c r="H20" s="498"/>
    </row>
    <row r="21" spans="1:8" ht="19.5" customHeight="1">
      <c r="A21" s="728"/>
      <c r="B21" s="753"/>
      <c r="C21" s="165" t="s">
        <v>29</v>
      </c>
      <c r="D21" s="760"/>
      <c r="E21" s="107"/>
      <c r="F21" s="538" t="str">
        <f t="shared" ca="1" si="1"/>
        <v/>
      </c>
      <c r="G21" s="562" t="str">
        <f t="shared" ca="1" si="0"/>
        <v/>
      </c>
      <c r="H21" s="498"/>
    </row>
    <row r="22" spans="1:8" ht="19.5" customHeight="1">
      <c r="A22" s="767" t="s">
        <v>30</v>
      </c>
      <c r="B22" s="768"/>
      <c r="C22" s="768"/>
      <c r="D22" s="246"/>
      <c r="E22" s="246"/>
      <c r="F22" s="544"/>
      <c r="G22" s="573"/>
      <c r="H22" s="498"/>
    </row>
    <row r="23" spans="1:8" ht="19.5" customHeight="1">
      <c r="A23" s="726" t="s">
        <v>31</v>
      </c>
      <c r="B23" s="727"/>
      <c r="C23" s="166" t="s">
        <v>32</v>
      </c>
      <c r="D23" s="725" t="s">
        <v>33</v>
      </c>
      <c r="E23" s="104"/>
      <c r="F23" s="545" t="str">
        <f t="shared" ref="F23:F29" ca="1" si="2">IF(E23&gt;0,IFERROR(SUMIFS(INDIRECT("'Pricelist "&amp;$B$3&amp;"'!$"&amp;CHAR(70+$D$5)&amp;"$3:$"&amp;CHAR(70+$D$5)&amp;"$130"),INDIRECT("'Pricelist "&amp;$B$3&amp;"'!$O$3:$O$130"),C23),"Pricelist not found"),"")</f>
        <v/>
      </c>
      <c r="G23" s="574" t="str">
        <f t="shared" ca="1" si="0"/>
        <v/>
      </c>
      <c r="H23" s="498"/>
    </row>
    <row r="24" spans="1:8" ht="19.5" customHeight="1">
      <c r="A24" s="728"/>
      <c r="B24" s="729"/>
      <c r="C24" s="117" t="s">
        <v>34</v>
      </c>
      <c r="D24" s="654"/>
      <c r="E24" s="107"/>
      <c r="F24" s="546" t="str">
        <f t="shared" ca="1" si="2"/>
        <v/>
      </c>
      <c r="G24" s="575" t="str">
        <f t="shared" ca="1" si="0"/>
        <v/>
      </c>
      <c r="H24" s="498"/>
    </row>
    <row r="25" spans="1:8" ht="19.5" customHeight="1">
      <c r="A25" s="728"/>
      <c r="B25" s="729"/>
      <c r="C25" s="166" t="s">
        <v>35</v>
      </c>
      <c r="D25" s="654"/>
      <c r="E25" s="104"/>
      <c r="F25" s="545" t="str">
        <f t="shared" ca="1" si="2"/>
        <v/>
      </c>
      <c r="G25" s="574" t="str">
        <f t="shared" ref="G25:G26" ca="1" si="3">IFERROR(E25*F25,"")</f>
        <v/>
      </c>
      <c r="H25" s="498"/>
    </row>
    <row r="26" spans="1:8" ht="19.5" customHeight="1">
      <c r="A26" s="728"/>
      <c r="B26" s="729"/>
      <c r="C26" s="117" t="s">
        <v>36</v>
      </c>
      <c r="D26" s="654"/>
      <c r="E26" s="107"/>
      <c r="F26" s="546" t="str">
        <f t="shared" ca="1" si="2"/>
        <v/>
      </c>
      <c r="G26" s="575" t="str">
        <f t="shared" ca="1" si="3"/>
        <v/>
      </c>
      <c r="H26" s="498"/>
    </row>
    <row r="27" spans="1:8" ht="19.5" customHeight="1">
      <c r="A27" s="728"/>
      <c r="B27" s="729"/>
      <c r="C27" s="166" t="s">
        <v>37</v>
      </c>
      <c r="D27" s="654"/>
      <c r="E27" s="104"/>
      <c r="F27" s="547" t="str">
        <f t="shared" ca="1" si="2"/>
        <v/>
      </c>
      <c r="G27" s="574" t="str">
        <f t="shared" ca="1" si="0"/>
        <v/>
      </c>
      <c r="H27" s="498"/>
    </row>
    <row r="28" spans="1:8" customFormat="1" ht="19.5" customHeight="1" thickBot="1">
      <c r="A28" s="730"/>
      <c r="B28" s="731"/>
      <c r="C28" s="117" t="s">
        <v>38</v>
      </c>
      <c r="D28" s="655"/>
      <c r="E28" s="107"/>
      <c r="F28" s="548" t="str">
        <f t="shared" ca="1" si="2"/>
        <v/>
      </c>
      <c r="G28" s="559" t="str">
        <f t="shared" ca="1" si="0"/>
        <v/>
      </c>
      <c r="H28" s="501"/>
    </row>
    <row r="29" spans="1:8" customFormat="1" ht="19.5" customHeight="1" thickBot="1">
      <c r="A29" s="755" t="s">
        <v>39</v>
      </c>
      <c r="B29" s="756"/>
      <c r="C29" s="167" t="s">
        <v>40</v>
      </c>
      <c r="D29" s="170" t="s">
        <v>14</v>
      </c>
      <c r="E29" s="173"/>
      <c r="F29" s="543" t="str">
        <f t="shared" ca="1" si="2"/>
        <v/>
      </c>
      <c r="G29" s="574" t="str">
        <f t="shared" ca="1" si="0"/>
        <v/>
      </c>
      <c r="H29" s="501"/>
    </row>
    <row r="30" spans="1:8" customFormat="1" ht="29.1" customHeight="1" thickBot="1">
      <c r="A30" s="755" t="s">
        <v>41</v>
      </c>
      <c r="B30" s="756"/>
      <c r="C30" s="163" t="s">
        <v>42</v>
      </c>
      <c r="D30" s="174" t="s">
        <v>43</v>
      </c>
      <c r="E30" s="622"/>
      <c r="F30" s="549" t="str">
        <f ca="1">IF(E30&gt;0,IFERROR(SUMIFS(INDIRECT("'Pricelist "&amp;$B$3&amp;"'!$"&amp;CHAR(70+$D$5)&amp;"$3:$"&amp;CHAR(70+$D$5)&amp;"$130"),INDIRECT("'Pricelist "&amp;$B$3&amp;"'!$O$3:$O$130"),C30,INDIRECT("'Pricelist "&amp;$B$3&amp;"'!$E$3:$E$130"),$E$6),"Pricelist not found"),"")</f>
        <v/>
      </c>
      <c r="G30" s="576" t="str">
        <f t="shared" ca="1" si="0"/>
        <v/>
      </c>
      <c r="H30" s="501"/>
    </row>
    <row r="31" spans="1:8" ht="19.5" customHeight="1">
      <c r="A31" s="761" t="s">
        <v>44</v>
      </c>
      <c r="B31" s="762"/>
      <c r="C31" s="168" t="s">
        <v>45</v>
      </c>
      <c r="D31" s="690" t="s">
        <v>43</v>
      </c>
      <c r="E31" s="623"/>
      <c r="F31" s="550" t="str">
        <f ca="1">IF(AND(E31&gt;0,$E$6="G2"),"Not available for G2",IF(E31&gt;0,IFERROR(SUMIFS(INDIRECT("'Pricelist "&amp;$B$3&amp;"'!$"&amp;CHAR(70+$D$5)&amp;"$3:$"&amp;CHAR(70+$D$5)&amp;"$130"),INDIRECT("'Pricelist "&amp;$B$3&amp;"'!$O$3:$O$130"),C31),"Pricelist not found"),""))</f>
        <v/>
      </c>
      <c r="G31" s="577" t="str">
        <f t="shared" ca="1" si="0"/>
        <v/>
      </c>
      <c r="H31" s="498"/>
    </row>
    <row r="32" spans="1:8" ht="19.5" customHeight="1">
      <c r="A32" s="763"/>
      <c r="B32" s="764"/>
      <c r="C32" s="171" t="s">
        <v>46</v>
      </c>
      <c r="D32" s="672"/>
      <c r="E32" s="107"/>
      <c r="F32" s="551" t="str">
        <f ca="1">IF(AND(E32&gt;0,$E$6="G2"),"Not available for G2",IF(E32&gt;0,IFERROR(SUMIFS(INDIRECT("'Pricelist "&amp;$B$3&amp;"'!$"&amp;CHAR(70+$D$5)&amp;"$3:$"&amp;CHAR(70+$D$5)&amp;"$130"),INDIRECT("'Pricelist "&amp;$B$3&amp;"'!$O$3:$O$130"),C32),"Pricelist not found"),""))</f>
        <v/>
      </c>
      <c r="G32" s="562" t="str">
        <f t="shared" ca="1" si="0"/>
        <v/>
      </c>
      <c r="H32" s="498"/>
    </row>
    <row r="33" spans="1:8" ht="19.5" customHeight="1" thickBot="1">
      <c r="A33" s="765"/>
      <c r="B33" s="766"/>
      <c r="C33" s="169" t="s">
        <v>47</v>
      </c>
      <c r="D33" s="691"/>
      <c r="E33" s="106"/>
      <c r="F33" s="552" t="str">
        <f ca="1">IF(AND(E33&gt;0,$E$6="G2"),"Not available for G2",IF(E33&gt;0,IFERROR(SUMIFS(INDIRECT("'Pricelist "&amp;$B$3&amp;"'!$"&amp;CHAR(70+$D$5)&amp;"$3:$"&amp;CHAR(70+$D$5)&amp;"$130"),INDIRECT("'Pricelist "&amp;$B$3&amp;"'!$O$3:$O$130"),C33),"Pricelist not found"),""))</f>
        <v/>
      </c>
      <c r="G33" s="571" t="str">
        <f t="shared" ca="1" si="0"/>
        <v/>
      </c>
      <c r="H33" s="498"/>
    </row>
    <row r="34" spans="1:8" ht="19.5" customHeight="1">
      <c r="A34" s="741" t="s">
        <v>48</v>
      </c>
      <c r="B34" s="742"/>
      <c r="C34" s="172" t="s">
        <v>49</v>
      </c>
      <c r="D34" s="739" t="s">
        <v>43</v>
      </c>
      <c r="E34" s="109" t="str">
        <f>IF('Compute points'!E13=0,"",'Compute points'!E13)</f>
        <v/>
      </c>
      <c r="F34" s="553" t="str">
        <f ca="1">IF(E34&lt;&gt;"",IFERROR(SUMIFS(INDIRECT("'Pricelist "&amp;$B$3&amp;"'!$"&amp;CHAR(70+$D$5)&amp;"$3:$"&amp;CHAR(70+$D$5)&amp;"$130"),INDIRECT("'Pricelist "&amp;$B$3&amp;"'!$O$3:$O$130"),C34),"Pricelist not found"),"")</f>
        <v/>
      </c>
      <c r="G34" s="575" t="str">
        <f ca="1">IFERROR(E34*F34,"")</f>
        <v/>
      </c>
      <c r="H34" s="498"/>
    </row>
    <row r="35" spans="1:8" ht="19.5" customHeight="1" thickBot="1">
      <c r="A35" s="743"/>
      <c r="B35" s="744"/>
      <c r="C35" s="111" t="s">
        <v>50</v>
      </c>
      <c r="D35" s="740"/>
      <c r="E35" s="106"/>
      <c r="F35" s="554" t="str">
        <f ca="1">IF(E35&gt;0,IFERROR(SUMIFS(INDIRECT("'Pricelist "&amp;$B$3&amp;"'!$"&amp;CHAR(70+$D$5)&amp;"$3:$"&amp;CHAR(70+$D$5)&amp;"$130"),INDIRECT("'Pricelist "&amp;$B$3&amp;"'!$O$3:$O$130"),C35),"Pricelist not found"),"")</f>
        <v/>
      </c>
      <c r="G35" s="578" t="str">
        <f ca="1">IFERROR(E35*F35,"")</f>
        <v/>
      </c>
      <c r="H35" s="498"/>
    </row>
    <row r="36" spans="1:8" ht="19.5" customHeight="1" thickBot="1">
      <c r="A36" s="720" t="s">
        <v>51</v>
      </c>
      <c r="B36" s="721"/>
      <c r="C36" s="722"/>
      <c r="D36" s="247"/>
      <c r="E36" s="247"/>
      <c r="F36" s="555"/>
      <c r="G36" s="579"/>
      <c r="H36" s="498"/>
    </row>
    <row r="37" spans="1:8" ht="19.5" customHeight="1" thickBot="1">
      <c r="A37" s="692" t="s">
        <v>52</v>
      </c>
      <c r="B37" s="510" t="s">
        <v>53</v>
      </c>
      <c r="C37" s="509" t="s">
        <v>54</v>
      </c>
      <c r="D37" s="469" t="s">
        <v>14</v>
      </c>
      <c r="E37" s="617"/>
      <c r="F37" s="556" t="str">
        <f ca="1">IF(E37&gt;0,IFERROR(SUMIFS(INDIRECT("'Pricelist "&amp;$B$3&amp;"'!$"&amp;CHAR(70+$D$5)&amp;"$3:$"&amp;CHAR(70+$D$5)&amp;"$130"),INDIRECT("'Pricelist "&amp;$B$3&amp;"'!$O$3:$O$130"),C37),"Pricelist not found"),"")</f>
        <v/>
      </c>
      <c r="G37" s="580" t="str">
        <f t="shared" ref="G37:G42" ca="1" si="4">IFERROR(E37*F37,"")</f>
        <v/>
      </c>
      <c r="H37" s="498"/>
    </row>
    <row r="38" spans="1:8" ht="19.5" customHeight="1">
      <c r="A38" s="692"/>
      <c r="B38" s="666" t="s">
        <v>55</v>
      </c>
      <c r="C38" s="528" t="s">
        <v>56</v>
      </c>
      <c r="D38" s="703" t="s">
        <v>14</v>
      </c>
      <c r="E38" s="108"/>
      <c r="F38" s="540" t="str">
        <f ca="1">IF(E38&gt;0,IFERROR(SUMIFS(INDIRECT("'Pricelist "&amp;$B$3&amp;"'!$"&amp;CHAR(70+$D$5)&amp;"$3:$"&amp;CHAR(70+$D$5)&amp;"$130"),INDIRECT("'Pricelist "&amp;$B$3&amp;"'!$O$3:$O$130"),C38),"Pricelist not found"),"")</f>
        <v/>
      </c>
      <c r="G38" s="569" t="str">
        <f t="shared" ca="1" si="4"/>
        <v/>
      </c>
      <c r="H38" s="498"/>
    </row>
    <row r="39" spans="1:8" ht="19.5" customHeight="1">
      <c r="A39" s="692"/>
      <c r="B39" s="667"/>
      <c r="C39" s="523" t="s">
        <v>57</v>
      </c>
      <c r="D39" s="704"/>
      <c r="E39" s="624"/>
      <c r="F39" s="541" t="str">
        <f ca="1">IF(E39&lt;&gt;"",IFERROR(SUMIFS(INDIRECT("'Pricelist "&amp;$B$3&amp;"'!$"&amp;CHAR(70+$D$5)&amp;"$3:$"&amp;CHAR(70+$D$5)&amp;"$130"),INDIRECT("'Pricelist "&amp;$B$3&amp;"'!$O$3:$O$130"),C39),"Pricelist not found"),"")</f>
        <v/>
      </c>
      <c r="G39" s="570" t="str">
        <f t="shared" ca="1" si="4"/>
        <v/>
      </c>
      <c r="H39" s="498"/>
    </row>
    <row r="40" spans="1:8" ht="19.5" customHeight="1">
      <c r="A40" s="692"/>
      <c r="B40" s="667"/>
      <c r="C40" s="525" t="s">
        <v>58</v>
      </c>
      <c r="D40" s="704"/>
      <c r="E40" s="625"/>
      <c r="F40" s="538" t="str">
        <f ca="1">IF(E40&gt;0,IFERROR(SUMIFS(INDIRECT("'Pricelist "&amp;$B$3&amp;"'!$"&amp;CHAR(70+$D$5)&amp;"$3:$"&amp;CHAR(70+$D$5)&amp;"$130"),INDIRECT("'Pricelist "&amp;$B$3&amp;"'!$O$3:$O$130"),C40),"Pricelist not found"),"")</f>
        <v/>
      </c>
      <c r="G40" s="562" t="str">
        <f t="shared" ca="1" si="4"/>
        <v/>
      </c>
      <c r="H40" s="498"/>
    </row>
    <row r="41" spans="1:8" ht="19.5" customHeight="1">
      <c r="A41" s="692"/>
      <c r="B41" s="667"/>
      <c r="C41" s="529" t="s">
        <v>59</v>
      </c>
      <c r="D41" s="704"/>
      <c r="E41" s="104"/>
      <c r="F41" s="541" t="str">
        <f ca="1">IF(E41&gt;0,IFERROR(SUMIFS(INDIRECT("'Pricelist "&amp;$B$3&amp;"'!$"&amp;CHAR(70+$D$5)&amp;"$3:$"&amp;CHAR(70+$D$5)&amp;"$130"),INDIRECT("'Pricelist "&amp;$B$3&amp;"'!$O$3:$O$130"),C41),"Pricelist not found"),"")</f>
        <v/>
      </c>
      <c r="G41" s="570" t="str">
        <f ca="1">IFERROR(E41*F41,"")</f>
        <v/>
      </c>
      <c r="H41" s="497"/>
    </row>
    <row r="42" spans="1:8" ht="19.5" customHeight="1" thickBot="1">
      <c r="A42" s="693"/>
      <c r="B42" s="668"/>
      <c r="C42" s="530" t="s">
        <v>60</v>
      </c>
      <c r="D42" s="705"/>
      <c r="E42" s="105"/>
      <c r="F42" s="557" t="str">
        <f ca="1">IF(E42&lt;&gt;"",IFERROR(SUMIFS(INDIRECT("'Pricelist "&amp;$B$3&amp;"'!$"&amp;CHAR(70+$D$5)&amp;"$3:$"&amp;CHAR(70+$D$5)&amp;"$130"),INDIRECT("'Pricelist "&amp;$B$3&amp;"'!$O$3:$O$130"),C42),"Pricelist not found"),"")</f>
        <v/>
      </c>
      <c r="G42" s="581" t="str">
        <f t="shared" ca="1" si="4"/>
        <v/>
      </c>
      <c r="H42" s="497"/>
    </row>
    <row r="43" spans="1:8" ht="19.5" customHeight="1">
      <c r="A43" s="692" t="s">
        <v>61</v>
      </c>
      <c r="B43" s="666" t="s">
        <v>62</v>
      </c>
      <c r="C43" s="531" t="s">
        <v>63</v>
      </c>
      <c r="D43" s="690" t="s">
        <v>14</v>
      </c>
      <c r="E43" s="369"/>
      <c r="F43" s="558" t="str">
        <f ca="1">IF(AND(E43&gt;0,$E$6="G2"),"Not available for G2",IF(E43&gt;0,IFERROR(SUMIFS(INDIRECT("'Pricelist "&amp;$B$3&amp;"'!$"&amp;CHAR(70+$D$5)&amp;"$3:$"&amp;CHAR(70+$D$5)&amp;"$130"),INDIRECT("'Pricelist "&amp;$B$3&amp;"'!$O$3:$O$130"),C43),"Pricelist not found"),""))</f>
        <v/>
      </c>
      <c r="G43" s="558" t="str">
        <f t="shared" ref="G43:G45" ca="1" si="5">IFERROR(E43*F43,"")</f>
        <v/>
      </c>
      <c r="H43" s="497"/>
    </row>
    <row r="44" spans="1:8" ht="19.5" customHeight="1" thickBot="1">
      <c r="A44" s="693"/>
      <c r="B44" s="668"/>
      <c r="C44" s="506" t="s">
        <v>64</v>
      </c>
      <c r="D44" s="691"/>
      <c r="E44" s="305"/>
      <c r="F44" s="559" t="str">
        <f ca="1">IF(AND(E44&gt;0,$E$6="G2"),"Not available for G2",IF(E44&gt;0,IFERROR(SUMIFS(INDIRECT("'Pricelist "&amp;$B$3&amp;"'!$"&amp;CHAR(70+$D$5)&amp;"$3:$"&amp;CHAR(70+$D$5)&amp;"$130"),INDIRECT("'Pricelist "&amp;$B$3&amp;"'!$O$3:$O$130"),C44),"Pricelist not found"),""))</f>
        <v/>
      </c>
      <c r="G44" s="560" t="str">
        <f t="shared" ca="1" si="5"/>
        <v/>
      </c>
      <c r="H44" s="497"/>
    </row>
    <row r="45" spans="1:8" ht="17.100000000000001" customHeight="1">
      <c r="A45" s="715" t="s">
        <v>65</v>
      </c>
      <c r="B45" s="708" t="s">
        <v>66</v>
      </c>
      <c r="C45" s="531" t="s">
        <v>67</v>
      </c>
      <c r="D45" s="717" t="s">
        <v>14</v>
      </c>
      <c r="E45" s="369"/>
      <c r="F45" s="558" t="str">
        <f ca="1">IF(E45&lt;&gt;"",IFERROR(SUMIFS(INDIRECT("'Pricelist "&amp;$B$3&amp;"'!$"&amp;CHAR(70+$D$5)&amp;"$3:$"&amp;CHAR(70+$D$5)&amp;"$130"),INDIRECT("'Pricelist "&amp;$B$3&amp;"'!$O$3:$O$130"),C45),"Pricelist not found"),"")</f>
        <v/>
      </c>
      <c r="G45" s="558" t="str">
        <f t="shared" ca="1" si="5"/>
        <v/>
      </c>
      <c r="H45" s="502"/>
    </row>
    <row r="46" spans="1:8" ht="17.100000000000001" customHeight="1" thickBot="1">
      <c r="A46" s="716"/>
      <c r="B46" s="709"/>
      <c r="C46" s="506" t="s">
        <v>68</v>
      </c>
      <c r="D46" s="718"/>
      <c r="E46" s="626"/>
      <c r="F46" s="560" t="str">
        <f ca="1">IF(E46&gt;0,IFERROR(SUMIFS(INDIRECT("'Pricelist "&amp;$B$3&amp;"'!$"&amp;CHAR(70+$D$5)&amp;"$3:$"&amp;CHAR(70+$D$5)&amp;"$130"),INDIRECT("'Pricelist "&amp;$B$3&amp;"'!$O$3:$O$130"),C46,INDIRECT("'Pricelist "&amp;$B$3&amp;"'!$E$3:$E$130"),$E$6),"Pricelist not found"),"")</f>
        <v/>
      </c>
      <c r="G46" s="559" t="str">
        <f ca="1">IFERROR(E46*F46,"")</f>
        <v/>
      </c>
      <c r="H46" s="502"/>
    </row>
    <row r="47" spans="1:8" ht="17.100000000000001" customHeight="1">
      <c r="A47" s="696"/>
      <c r="B47" s="666" t="s">
        <v>69</v>
      </c>
      <c r="C47" s="532" t="s">
        <v>70</v>
      </c>
      <c r="D47" s="719" t="s">
        <v>14</v>
      </c>
      <c r="E47" s="627"/>
      <c r="F47" s="561" t="str">
        <f ca="1">IF(E47&gt;0,IFERROR(SUMIFS(INDIRECT("'Pricelist "&amp;$B$3&amp;"'!$"&amp;CHAR(70+$D$5)&amp;"$3:$"&amp;CHAR(70+$D$5)&amp;"$130"),INDIRECT("'Pricelist "&amp;$B$3&amp;"'!$O$3:$O$130"),C47,INDIRECT("'Pricelist "&amp;$B$3&amp;"'!$E$3:$E$130"),$E$6),"Pricelist not found"),"")</f>
        <v/>
      </c>
      <c r="G47" s="561" t="str">
        <f t="shared" ref="G47:G48" ca="1" si="6">IFERROR(E47*F47,"")</f>
        <v/>
      </c>
      <c r="H47" s="502"/>
    </row>
    <row r="48" spans="1:8" ht="17.100000000000001" customHeight="1" thickBot="1">
      <c r="A48" s="696"/>
      <c r="B48" s="668"/>
      <c r="C48" s="518" t="str">
        <f>'Service-based'!C71</f>
        <v>Cyber Files Cloud Service Provider Hosted Storage</v>
      </c>
      <c r="D48" s="719"/>
      <c r="E48" s="628"/>
      <c r="F48" s="562" t="str">
        <f ca="1">IF(E48&gt;0,IFERROR(SUMIFS(INDIRECT("'Pricelist "&amp;$B$3&amp;"'!$"&amp;CHAR(70+$D$5)&amp;"$3:$"&amp;CHAR(70+$D$5)&amp;"$130"),INDIRECT("'Pricelist "&amp;$B$3&amp;"'!$O$3:$O$130"),C48),"Pricelist not found"),"")</f>
        <v/>
      </c>
      <c r="G48" s="575" t="str">
        <f t="shared" ca="1" si="6"/>
        <v/>
      </c>
      <c r="H48" s="502"/>
    </row>
    <row r="49" spans="1:8" ht="19.5" customHeight="1" thickBot="1">
      <c r="A49" s="706" t="s">
        <v>71</v>
      </c>
      <c r="B49" s="707"/>
      <c r="C49" s="370" t="s">
        <v>72</v>
      </c>
      <c r="D49" s="353" t="s">
        <v>14</v>
      </c>
      <c r="E49" s="629"/>
      <c r="F49" s="563" t="str">
        <f ca="1">IF(E49&gt;0,IFERROR(SUMIFS(INDIRECT("'Pricelist "&amp;$B$3&amp;"'!$"&amp;CHAR(70+$D$5)&amp;"$3:$"&amp;CHAR(70+$D$5)&amp;"$130"),INDIRECT("'Pricelist "&amp;$B$3&amp;"'!$O$3:$O$130"),C49),"Pricelist not found"),"")</f>
        <v/>
      </c>
      <c r="G49" s="582" t="str">
        <f ca="1">IFERROR(E49*F49,"")</f>
        <v/>
      </c>
      <c r="H49" s="498"/>
    </row>
    <row r="50" spans="1:8" ht="20.100000000000001" customHeight="1">
      <c r="A50" s="17"/>
      <c r="B50" s="17"/>
      <c r="C50" s="15"/>
      <c r="D50" s="15"/>
      <c r="E50" s="103" t="s">
        <v>73</v>
      </c>
      <c r="F50" s="564"/>
      <c r="G50" s="618">
        <f ca="1">SUM(G8:G49)</f>
        <v>0</v>
      </c>
      <c r="H50" s="497"/>
    </row>
    <row r="51" spans="1:8" ht="20.100000000000001" customHeight="1">
      <c r="A51" s="17"/>
      <c r="B51" s="17"/>
      <c r="C51" s="15"/>
      <c r="D51" s="15"/>
      <c r="E51" s="103" t="s">
        <v>74</v>
      </c>
      <c r="F51" s="564"/>
      <c r="G51" s="618">
        <f ca="1">'Service-based'!G73</f>
        <v>0</v>
      </c>
      <c r="H51" s="497"/>
    </row>
    <row r="52" spans="1:8" ht="20.100000000000001" customHeight="1">
      <c r="A52" s="17"/>
      <c r="B52" s="17"/>
      <c r="C52" s="15"/>
      <c r="D52" s="15"/>
      <c r="E52" s="103" t="s">
        <v>75</v>
      </c>
      <c r="F52" s="564"/>
      <c r="G52" s="618">
        <f ca="1">SUM(G50:G51)</f>
        <v>0</v>
      </c>
      <c r="H52" s="497"/>
    </row>
    <row r="53" spans="1:8" ht="24" customHeight="1">
      <c r="A53" s="5"/>
      <c r="B53" s="5"/>
      <c r="C53" s="5"/>
      <c r="D53" s="5"/>
      <c r="E53" s="25" t="s">
        <v>76</v>
      </c>
      <c r="F53" s="565"/>
      <c r="G53" s="621">
        <f ca="1">IF((G52)&gt;E5,(G52),E5)</f>
        <v>250</v>
      </c>
      <c r="H53" s="497"/>
    </row>
    <row r="54" spans="1:8" ht="24" customHeight="1">
      <c r="A54" s="5"/>
      <c r="B54" s="5"/>
      <c r="C54" s="5"/>
      <c r="D54" s="5"/>
      <c r="E54" s="25" t="s">
        <v>77</v>
      </c>
      <c r="F54" s="565"/>
      <c r="G54" s="621">
        <f ca="1">G53*12</f>
        <v>3000</v>
      </c>
      <c r="H54" s="497"/>
    </row>
    <row r="55" spans="1:8" ht="14.1" customHeight="1">
      <c r="A55" s="154" t="s">
        <v>78</v>
      </c>
      <c r="B55" s="130"/>
      <c r="C55" s="130"/>
      <c r="D55" s="130"/>
      <c r="E55" s="130"/>
      <c r="F55" s="566"/>
      <c r="G55" s="566"/>
      <c r="H55" s="498"/>
    </row>
    <row r="56" spans="1:8" ht="14.1" customHeight="1">
      <c r="A56" s="130"/>
      <c r="B56" s="130"/>
      <c r="C56" s="130"/>
      <c r="D56" s="130"/>
      <c r="E56" s="130"/>
      <c r="F56" s="566"/>
      <c r="G56" s="566"/>
    </row>
    <row r="57" spans="1:8" ht="14.1" customHeight="1">
      <c r="A57" s="130"/>
      <c r="B57" s="130"/>
      <c r="C57" s="130"/>
      <c r="D57" s="130"/>
      <c r="E57" s="130"/>
      <c r="F57" s="566"/>
      <c r="G57" s="566"/>
    </row>
    <row r="58" spans="1:8" ht="14.1" customHeight="1">
      <c r="A58" s="130"/>
      <c r="B58" s="130"/>
      <c r="C58" s="130"/>
      <c r="D58" s="130"/>
      <c r="E58" s="130"/>
      <c r="F58" s="566"/>
      <c r="G58" s="566"/>
    </row>
    <row r="59" spans="1:8" ht="14.1" customHeight="1">
      <c r="A59" s="130"/>
      <c r="B59" s="130"/>
      <c r="C59" s="130"/>
      <c r="D59" s="130"/>
      <c r="E59" s="130"/>
      <c r="F59" s="566"/>
      <c r="G59" s="566"/>
    </row>
    <row r="60" spans="1:8" ht="14.1" customHeight="1">
      <c r="A60" s="130"/>
      <c r="B60" s="130"/>
      <c r="C60" s="130"/>
      <c r="D60" s="130"/>
      <c r="E60" s="130"/>
      <c r="F60" s="566"/>
      <c r="G60" s="566"/>
    </row>
    <row r="61" spans="1:8" ht="14.1" customHeight="1">
      <c r="A61" s="130"/>
      <c r="B61" s="130"/>
      <c r="C61" s="130"/>
      <c r="D61" s="130"/>
      <c r="E61" s="130"/>
      <c r="F61" s="566"/>
      <c r="G61" s="566"/>
    </row>
    <row r="62" spans="1:8" ht="14.1" customHeight="1">
      <c r="A62" s="130"/>
      <c r="B62" s="130"/>
      <c r="C62" s="130"/>
      <c r="D62" s="130"/>
      <c r="E62" s="130"/>
      <c r="F62" s="566"/>
      <c r="G62" s="566"/>
    </row>
    <row r="63" spans="1:8" ht="14.1" customHeight="1">
      <c r="A63" s="130"/>
      <c r="B63" s="130"/>
      <c r="C63" s="130"/>
      <c r="D63" s="130"/>
      <c r="E63" s="130"/>
      <c r="F63" s="566"/>
      <c r="G63" s="566"/>
    </row>
    <row r="64" spans="1:8" ht="14.1" customHeight="1">
      <c r="A64" s="130"/>
      <c r="B64" s="130"/>
      <c r="C64" s="130"/>
      <c r="D64" s="130"/>
      <c r="E64" s="130"/>
      <c r="F64" s="566"/>
      <c r="G64" s="566"/>
    </row>
    <row r="65" spans="1:7" ht="14.1" customHeight="1">
      <c r="A65" s="130"/>
      <c r="B65" s="130"/>
      <c r="C65" s="130"/>
      <c r="D65" s="130"/>
      <c r="E65" s="130"/>
      <c r="F65" s="566"/>
      <c r="G65" s="566"/>
    </row>
    <row r="66" spans="1:7" ht="14.1" customHeight="1">
      <c r="A66" s="130"/>
      <c r="B66" s="130"/>
      <c r="C66" s="130"/>
      <c r="D66" s="130"/>
      <c r="E66" s="130"/>
      <c r="F66" s="566"/>
      <c r="G66" s="566"/>
    </row>
    <row r="67" spans="1:7" ht="14.1" customHeight="1">
      <c r="A67" s="130"/>
      <c r="B67" s="130"/>
      <c r="C67" s="130"/>
      <c r="D67" s="130"/>
      <c r="E67" s="130"/>
      <c r="F67" s="566"/>
      <c r="G67" s="566"/>
    </row>
    <row r="68" spans="1:7" ht="14.1" customHeight="1">
      <c r="A68" s="130"/>
      <c r="B68" s="130"/>
      <c r="C68" s="130"/>
      <c r="D68" s="130"/>
      <c r="E68" s="130"/>
      <c r="F68" s="566"/>
      <c r="G68" s="566"/>
    </row>
    <row r="69" spans="1:7" ht="14.1" customHeight="1">
      <c r="A69" s="130"/>
      <c r="B69" s="130"/>
      <c r="C69" s="130"/>
      <c r="D69" s="130"/>
      <c r="E69" s="130"/>
      <c r="F69" s="566"/>
      <c r="G69" s="566"/>
    </row>
    <row r="70" spans="1:7" ht="14.1" customHeight="1">
      <c r="A70" s="130"/>
      <c r="B70" s="130"/>
      <c r="C70" s="130"/>
      <c r="D70" s="130"/>
      <c r="E70" s="130"/>
      <c r="F70" s="566"/>
      <c r="G70" s="566"/>
    </row>
    <row r="71" spans="1:7" ht="14.1" customHeight="1">
      <c r="A71" s="130"/>
      <c r="B71" s="130"/>
      <c r="C71" s="130"/>
      <c r="D71" s="130"/>
      <c r="E71" s="130"/>
      <c r="F71" s="566"/>
      <c r="G71" s="566"/>
    </row>
    <row r="72" spans="1:7" ht="14.1" customHeight="1">
      <c r="A72" s="130"/>
      <c r="B72" s="130"/>
      <c r="C72" s="130"/>
      <c r="D72" s="130"/>
      <c r="E72" s="130"/>
      <c r="F72" s="566"/>
      <c r="G72" s="566"/>
    </row>
    <row r="73" spans="1:7" ht="14.1" customHeight="1">
      <c r="A73" s="130"/>
      <c r="B73" s="130"/>
      <c r="C73" s="130"/>
      <c r="D73" s="130"/>
      <c r="E73" s="130"/>
      <c r="F73" s="566"/>
      <c r="G73" s="566"/>
    </row>
    <row r="74" spans="1:7" ht="14.1" customHeight="1">
      <c r="A74" s="130"/>
      <c r="B74" s="130"/>
      <c r="C74" s="130"/>
      <c r="D74" s="130"/>
      <c r="E74" s="130"/>
      <c r="F74" s="566"/>
      <c r="G74" s="566"/>
    </row>
    <row r="75" spans="1:7" ht="14.1" customHeight="1">
      <c r="A75" s="130"/>
      <c r="B75" s="130"/>
      <c r="C75" s="130"/>
      <c r="D75" s="130"/>
      <c r="E75" s="130"/>
      <c r="F75" s="566"/>
      <c r="G75" s="566"/>
    </row>
    <row r="76" spans="1:7" ht="14.1" customHeight="1">
      <c r="A76" s="130"/>
      <c r="B76" s="130"/>
      <c r="C76" s="130"/>
      <c r="D76" s="130"/>
      <c r="E76" s="130"/>
      <c r="F76" s="566"/>
      <c r="G76" s="566"/>
    </row>
    <row r="77" spans="1:7" ht="14.1" customHeight="1">
      <c r="A77" s="130"/>
      <c r="B77" s="130"/>
      <c r="C77" s="130"/>
      <c r="D77" s="130"/>
      <c r="E77" s="130"/>
      <c r="F77" s="566"/>
      <c r="G77" s="566"/>
    </row>
    <row r="78" spans="1:7" ht="14.1" customHeight="1">
      <c r="A78" s="130"/>
      <c r="B78" s="130"/>
      <c r="C78" s="130"/>
      <c r="D78" s="130"/>
      <c r="E78" s="130"/>
      <c r="F78" s="566"/>
      <c r="G78" s="566"/>
    </row>
    <row r="79" spans="1:7" ht="14.1" customHeight="1">
      <c r="A79" s="130"/>
      <c r="B79" s="130"/>
      <c r="C79" s="130"/>
      <c r="D79" s="130"/>
      <c r="E79" s="130"/>
      <c r="F79" s="566"/>
      <c r="G79" s="566"/>
    </row>
    <row r="80" spans="1:7" ht="14.1" customHeight="1">
      <c r="A80" s="130"/>
      <c r="B80" s="130"/>
      <c r="C80" s="130"/>
      <c r="D80" s="130"/>
      <c r="E80" s="130"/>
      <c r="F80" s="566"/>
      <c r="G80" s="566"/>
    </row>
    <row r="81" spans="1:7" ht="14.1" customHeight="1">
      <c r="A81" s="130"/>
      <c r="B81" s="130"/>
      <c r="C81" s="130"/>
      <c r="D81" s="130"/>
      <c r="E81" s="130"/>
      <c r="F81" s="566"/>
      <c r="G81" s="566"/>
    </row>
    <row r="82" spans="1:7" ht="14.1" customHeight="1">
      <c r="A82" s="130"/>
      <c r="B82" s="130"/>
      <c r="C82" s="130"/>
      <c r="D82" s="130"/>
      <c r="E82" s="130"/>
      <c r="F82" s="566"/>
      <c r="G82" s="566"/>
    </row>
    <row r="83" spans="1:7" ht="14.1" customHeight="1">
      <c r="A83" s="130"/>
      <c r="B83" s="130"/>
      <c r="C83" s="130"/>
      <c r="D83" s="130"/>
      <c r="E83" s="130"/>
      <c r="F83" s="566"/>
      <c r="G83" s="566"/>
    </row>
    <row r="84" spans="1:7" ht="14.1" customHeight="1">
      <c r="A84" s="130"/>
      <c r="B84" s="130"/>
      <c r="C84" s="130"/>
      <c r="D84" s="130"/>
      <c r="E84" s="130"/>
      <c r="F84" s="566"/>
      <c r="G84" s="566"/>
    </row>
    <row r="85" spans="1:7" ht="14.1" customHeight="1">
      <c r="A85" s="130"/>
      <c r="B85" s="130"/>
      <c r="C85" s="130"/>
      <c r="D85" s="130"/>
      <c r="E85" s="130"/>
      <c r="F85" s="566"/>
      <c r="G85" s="566"/>
    </row>
    <row r="86" spans="1:7" ht="14.1" customHeight="1">
      <c r="A86" s="130"/>
      <c r="B86" s="130"/>
      <c r="C86" s="130"/>
      <c r="D86" s="130"/>
      <c r="E86" s="130"/>
      <c r="F86" s="566"/>
      <c r="G86" s="566"/>
    </row>
    <row r="87" spans="1:7" ht="14.1" customHeight="1">
      <c r="A87" s="130"/>
      <c r="B87" s="130"/>
      <c r="C87" s="130"/>
      <c r="D87" s="130"/>
      <c r="E87" s="130"/>
      <c r="F87" s="566"/>
      <c r="G87" s="566"/>
    </row>
    <row r="88" spans="1:7" ht="14.1" customHeight="1">
      <c r="A88" s="130"/>
      <c r="B88" s="130"/>
      <c r="C88" s="130"/>
      <c r="D88" s="130"/>
      <c r="E88" s="130"/>
      <c r="F88" s="566"/>
      <c r="G88" s="566"/>
    </row>
    <row r="89" spans="1:7" ht="14.1" customHeight="1">
      <c r="A89" s="130"/>
      <c r="B89" s="130"/>
      <c r="C89" s="130"/>
      <c r="D89" s="130"/>
      <c r="E89" s="130"/>
      <c r="F89" s="566"/>
      <c r="G89" s="566"/>
    </row>
    <row r="90" spans="1:7" ht="14.1" customHeight="1">
      <c r="A90" s="130"/>
      <c r="B90" s="130"/>
      <c r="C90" s="130"/>
      <c r="D90" s="130"/>
      <c r="E90" s="130"/>
      <c r="F90" s="566"/>
      <c r="G90" s="566"/>
    </row>
    <row r="91" spans="1:7" ht="14.1" customHeight="1">
      <c r="A91" s="130"/>
      <c r="B91" s="130"/>
      <c r="C91" s="130"/>
      <c r="D91" s="130"/>
      <c r="E91" s="130"/>
      <c r="F91" s="566"/>
      <c r="G91" s="566"/>
    </row>
    <row r="92" spans="1:7" ht="14.1" customHeight="1">
      <c r="A92" s="130"/>
      <c r="B92" s="130"/>
      <c r="C92" s="130"/>
      <c r="D92" s="130"/>
      <c r="E92" s="130"/>
      <c r="F92" s="566"/>
      <c r="G92" s="566"/>
    </row>
    <row r="93" spans="1:7" ht="14.1" customHeight="1">
      <c r="A93" s="130"/>
      <c r="B93" s="130"/>
      <c r="C93" s="130"/>
      <c r="D93" s="130"/>
      <c r="E93" s="130"/>
      <c r="F93" s="566"/>
      <c r="G93" s="566"/>
    </row>
    <row r="94" spans="1:7" ht="14.1" customHeight="1">
      <c r="A94" s="130"/>
      <c r="B94" s="130"/>
      <c r="C94" s="130"/>
      <c r="D94" s="130"/>
      <c r="E94" s="130"/>
      <c r="F94" s="566"/>
      <c r="G94" s="566"/>
    </row>
    <row r="95" spans="1:7" ht="14.1" customHeight="1">
      <c r="A95" s="130"/>
      <c r="B95" s="130"/>
      <c r="C95" s="130"/>
      <c r="D95" s="130"/>
      <c r="E95" s="130"/>
      <c r="F95" s="566"/>
      <c r="G95" s="566"/>
    </row>
    <row r="96" spans="1:7" ht="14.1" customHeight="1">
      <c r="A96" s="130"/>
      <c r="B96" s="130"/>
      <c r="C96" s="130"/>
      <c r="D96" s="130"/>
      <c r="E96" s="130"/>
      <c r="F96" s="566"/>
      <c r="G96" s="566"/>
    </row>
    <row r="97" spans="1:7" ht="14.1" customHeight="1">
      <c r="A97" s="130"/>
      <c r="B97" s="130"/>
      <c r="C97" s="130"/>
      <c r="D97" s="130"/>
      <c r="E97" s="130"/>
      <c r="F97" s="566"/>
      <c r="G97" s="566"/>
    </row>
    <row r="98" spans="1:7" ht="14.1" customHeight="1">
      <c r="A98" s="130"/>
      <c r="B98" s="130"/>
      <c r="C98" s="130"/>
      <c r="D98" s="130"/>
      <c r="E98" s="130"/>
      <c r="F98" s="566"/>
      <c r="G98" s="566"/>
    </row>
    <row r="99" spans="1:7" ht="14.1" customHeight="1">
      <c r="A99" s="130"/>
      <c r="B99" s="130"/>
      <c r="C99" s="130"/>
      <c r="D99" s="130"/>
      <c r="E99" s="130"/>
      <c r="F99" s="566"/>
      <c r="G99" s="566"/>
    </row>
    <row r="100" spans="1:7" ht="14.1" customHeight="1">
      <c r="A100" s="130"/>
      <c r="B100" s="130"/>
      <c r="C100" s="130"/>
      <c r="D100" s="130"/>
      <c r="E100" s="130"/>
      <c r="F100" s="130"/>
      <c r="G100" s="130"/>
    </row>
    <row r="101" spans="1:7" ht="14.1" customHeight="1">
      <c r="A101" s="130"/>
      <c r="B101" s="130"/>
      <c r="C101" s="130"/>
      <c r="D101" s="130"/>
      <c r="E101" s="130"/>
      <c r="F101" s="130"/>
      <c r="G101" s="130"/>
    </row>
    <row r="102" spans="1:7" ht="14.1" hidden="1" customHeight="1">
      <c r="A102" s="130"/>
      <c r="B102" s="130"/>
      <c r="C102" s="130"/>
      <c r="D102" s="130"/>
      <c r="E102" s="130"/>
      <c r="F102" s="130"/>
      <c r="G102" s="130"/>
    </row>
    <row r="103" spans="1:7" ht="14.1" hidden="1" customHeight="1">
      <c r="A103" s="130"/>
      <c r="B103" s="130"/>
      <c r="C103" s="130"/>
      <c r="D103" s="130"/>
      <c r="E103" s="130"/>
      <c r="F103" s="130"/>
      <c r="G103" s="130"/>
    </row>
    <row r="104" spans="1:7" ht="14.1" hidden="1" customHeight="1">
      <c r="A104" s="130"/>
      <c r="B104" s="130"/>
      <c r="C104" s="130"/>
      <c r="D104" s="130"/>
      <c r="E104" s="130"/>
      <c r="F104" s="130"/>
      <c r="G104" s="130"/>
    </row>
    <row r="105" spans="1:7" ht="14.1" hidden="1" customHeight="1">
      <c r="A105" s="130"/>
      <c r="B105" s="130"/>
      <c r="C105" s="130"/>
      <c r="D105" s="130"/>
      <c r="E105" s="130"/>
      <c r="F105" s="130"/>
      <c r="G105" s="130"/>
    </row>
    <row r="106" spans="1:7" ht="14.1" hidden="1" customHeight="1">
      <c r="A106" s="130"/>
      <c r="B106" s="130"/>
      <c r="C106" s="130"/>
      <c r="D106" s="130"/>
      <c r="E106" s="130"/>
      <c r="F106" s="130"/>
      <c r="G106" s="130"/>
    </row>
    <row r="107" spans="1:7" ht="14.1" hidden="1" customHeight="1">
      <c r="A107" s="130"/>
      <c r="B107" s="130"/>
      <c r="C107" s="130"/>
      <c r="D107" s="130"/>
      <c r="E107" s="130"/>
      <c r="F107" s="130"/>
      <c r="G107" s="130"/>
    </row>
    <row r="108" spans="1:7" ht="14.1" hidden="1" customHeight="1">
      <c r="A108" s="130"/>
      <c r="B108" s="130"/>
      <c r="C108" s="130"/>
      <c r="D108" s="130"/>
      <c r="E108" s="130"/>
      <c r="F108" s="130"/>
      <c r="G108" s="130"/>
    </row>
    <row r="109" spans="1:7" ht="14.1" hidden="1" customHeight="1">
      <c r="A109" s="130"/>
      <c r="B109" s="130"/>
      <c r="C109" s="130"/>
      <c r="D109" s="130"/>
      <c r="E109" s="130"/>
      <c r="F109" s="130"/>
      <c r="G109" s="130"/>
    </row>
    <row r="110" spans="1:7" ht="14.1" hidden="1" customHeight="1">
      <c r="A110" s="130"/>
      <c r="B110" s="130"/>
      <c r="C110" s="130"/>
      <c r="D110" s="130"/>
      <c r="E110" s="130"/>
      <c r="F110" s="130"/>
      <c r="G110" s="130"/>
    </row>
    <row r="111" spans="1:7" ht="14.1" hidden="1" customHeight="1">
      <c r="A111" s="130"/>
      <c r="B111" s="130"/>
      <c r="C111" s="130"/>
      <c r="D111" s="130"/>
      <c r="E111" s="130"/>
      <c r="F111" s="130"/>
      <c r="G111" s="130"/>
    </row>
    <row r="112" spans="1:7" ht="14.1" hidden="1" customHeight="1">
      <c r="A112" s="130"/>
      <c r="B112" s="130"/>
      <c r="C112" s="130"/>
      <c r="D112" s="130"/>
      <c r="E112" s="130"/>
      <c r="F112" s="130"/>
      <c r="G112" s="130"/>
    </row>
    <row r="113" spans="1:7" ht="14.1" hidden="1" customHeight="1">
      <c r="A113" s="130"/>
      <c r="B113" s="130"/>
      <c r="C113" s="130"/>
      <c r="D113" s="130"/>
      <c r="E113" s="130"/>
      <c r="F113" s="130"/>
      <c r="G113" s="130"/>
    </row>
    <row r="114" spans="1:7" ht="14.1" hidden="1" customHeight="1">
      <c r="A114" s="130"/>
      <c r="B114" s="130"/>
      <c r="C114" s="130"/>
      <c r="D114" s="130"/>
      <c r="E114" s="130"/>
      <c r="F114" s="130"/>
      <c r="G114" s="130"/>
    </row>
    <row r="115" spans="1:7" ht="14.1" hidden="1" customHeight="1"/>
    <row r="116" spans="1:7" ht="14.1" hidden="1" customHeight="1"/>
    <row r="117" spans="1:7" ht="14.1" hidden="1" customHeight="1"/>
    <row r="118" spans="1:7" ht="14.1" hidden="1" customHeight="1"/>
    <row r="119" spans="1:7" ht="14.1" hidden="1" customHeight="1"/>
    <row r="120" spans="1:7" ht="14.1" hidden="1" customHeight="1"/>
    <row r="121" spans="1:7" ht="14.1" hidden="1" customHeight="1"/>
  </sheetData>
  <sheetProtection algorithmName="SHA-512" hashValue="/q3Ww7Rpqrmnu645PARMRlm5EFDmbu3YqkFuY+E/EnbLFsDrVmEJw1jAe7FNfqJz5i1o44sx2DBNKQmsMSmJvQ==" saltValue="ZIQrL516lENrHBFp0o3D8Q==" spinCount="100000" sheet="1" objects="1" scenarios="1"/>
  <mergeCells count="35">
    <mergeCell ref="E1:G1"/>
    <mergeCell ref="E4:G4"/>
    <mergeCell ref="A7:C7"/>
    <mergeCell ref="A4:C4"/>
    <mergeCell ref="D34:D35"/>
    <mergeCell ref="A34:B35"/>
    <mergeCell ref="A8:B10"/>
    <mergeCell ref="A11:B16"/>
    <mergeCell ref="A17:B21"/>
    <mergeCell ref="A29:B29"/>
    <mergeCell ref="A30:B30"/>
    <mergeCell ref="D8:D10"/>
    <mergeCell ref="D11:D16"/>
    <mergeCell ref="D17:D21"/>
    <mergeCell ref="A31:B33"/>
    <mergeCell ref="A22:C22"/>
    <mergeCell ref="F5:G5"/>
    <mergeCell ref="F6:G6"/>
    <mergeCell ref="D31:D33"/>
    <mergeCell ref="D23:D28"/>
    <mergeCell ref="A23:B28"/>
    <mergeCell ref="C6:D6"/>
    <mergeCell ref="A36:C36"/>
    <mergeCell ref="A37:A42"/>
    <mergeCell ref="A43:A44"/>
    <mergeCell ref="A49:B49"/>
    <mergeCell ref="A45:A48"/>
    <mergeCell ref="B45:B46"/>
    <mergeCell ref="D45:D46"/>
    <mergeCell ref="B47:B48"/>
    <mergeCell ref="D47:D48"/>
    <mergeCell ref="B38:B42"/>
    <mergeCell ref="D38:D42"/>
    <mergeCell ref="B43:B44"/>
    <mergeCell ref="D43:D44"/>
  </mergeCells>
  <conditionalFormatting sqref="F53:G54">
    <cfRule type="expression" dxfId="3" priority="1">
      <formula>AND(#REF!&lt;#REF!,(SUM(#REF!)*#REF!&gt;0))</formula>
    </cfRule>
  </conditionalFormatting>
  <dataValidations count="8">
    <dataValidation allowBlank="1" showInputMessage="1" showErrorMessage="1" promptTitle="&gt;&gt;&gt;&gt;&gt;Acronis Hosted Storage&lt;&lt;&lt;&lt;&lt;" prompt="At Acronis Datacenter" sqref="C47" xr:uid="{2C9AEF0C-B548-4D57-B67B-6C984274B397}"/>
    <dataValidation allowBlank="1" showInputMessage="1" showErrorMessage="1" promptTitle="Service Provider Hosted Storage" prompt="Storage hosted on Service Provider Datacenter or Public Cloud managed by Service Provider (Azure, AWS, etc.)" sqref="C48" xr:uid="{89A707EF-5A75-4523-B57F-840BB13F6ABD}"/>
    <dataValidation allowBlank="1" showErrorMessage="1" sqref="E48" xr:uid="{97CA9389-654A-48F2-9126-DA6ACA2CEEA5}"/>
    <dataValidation allowBlank="1" showErrorMessage="1" prompt="At Acronis Datacenter and/or Azure/Google storage managed by Acronis " sqref="C45:D45 D37 D43 D47" xr:uid="{6A7EE17B-87A0-4899-8BD4-654CE24F8195}"/>
    <dataValidation allowBlank="1" showErrorMessage="1" promptTitle="Service Provider Hosted Storage" prompt="Storage hosted on Service Provider Datacenter or Public Cloud managed by Service Provider (Azure, AWS, etc.)" sqref="D45 D47 D37 D43 C45:C46" xr:uid="{19EE8BD1-EB0F-46B5-93C3-5B332B506634}"/>
    <dataValidation allowBlank="1" showErrorMessage="1" promptTitle="Service Provider Hosted Storage" sqref="C49" xr:uid="{4C5FC09F-E610-47C3-9B59-5F2FA19C1622}"/>
    <dataValidation type="list" allowBlank="1" showInputMessage="1" showErrorMessage="1" sqref="E5" xr:uid="{93E85D9C-8028-4455-A539-796B578784C5}">
      <formula1>CommitmentList</formula1>
    </dataValidation>
    <dataValidation type="list" allowBlank="1" showInputMessage="1" showErrorMessage="1" sqref="B2:B3" xr:uid="{4B4519C5-4291-4FAD-8AE3-0E66F4F3E772}">
      <formula1>#REF!</formula1>
    </dataValidation>
  </dataValidations>
  <hyperlinks>
    <hyperlink ref="A31:B33" location="'Cloud DCs'!A1" display="Geo-replication" xr:uid="{BA90CDA7-A245-4448-8935-D10BFEAE9CEA}"/>
    <hyperlink ref="A55" r:id="rId1" xr:uid="{C4AE9D8F-81BE-4321-8065-D8C609F0EE7B}"/>
  </hyperlinks>
  <pageMargins left="0.7" right="0.7" top="0.75" bottom="0.75" header="0.3" footer="0.3"/>
  <pageSetup paperSize="9" orientation="portrait" r:id="rId2"/>
  <drawing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ADCEE1A3-65D3-4AED-939D-07A9715AF00E}">
          <x14:formula1>
            <xm:f>'Cloud DCs'!$I$2:$I$3</xm:f>
          </x14:formula1>
          <xm:sqref>E6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882"/>
    <pageSetUpPr autoPageBreaks="0"/>
  </sheetPr>
  <dimension ref="A1:BEZ103"/>
  <sheetViews>
    <sheetView tabSelected="1" zoomScale="70" zoomScaleNormal="70" workbookViewId="0">
      <selection activeCell="E3" sqref="E3"/>
    </sheetView>
  </sheetViews>
  <sheetFormatPr defaultColWidth="0" defaultRowHeight="14.45" zeroHeight="1"/>
  <cols>
    <col min="1" max="1" width="23.42578125" style="4" customWidth="1"/>
    <col min="2" max="2" width="22.85546875" style="4" customWidth="1"/>
    <col min="3" max="3" width="110.140625" style="4" bestFit="1" customWidth="1"/>
    <col min="4" max="4" width="20.42578125" style="4" customWidth="1"/>
    <col min="5" max="5" width="16.42578125" style="4" customWidth="1"/>
    <col min="6" max="6" width="29.140625" style="4" customWidth="1"/>
    <col min="7" max="7" width="28.5703125" style="4" customWidth="1"/>
    <col min="8" max="8" width="13.85546875" hidden="1" customWidth="1"/>
    <col min="9" max="12" width="9.42578125" hidden="1" customWidth="1"/>
    <col min="13" max="1321" width="0" hidden="1" customWidth="1"/>
    <col min="1322" max="1444" width="0" style="620" hidden="1" customWidth="1"/>
    <col min="1445" max="1445" width="18.5703125" style="620" hidden="1" customWidth="1"/>
    <col min="1446" max="1504" width="0" style="620" hidden="1" customWidth="1"/>
    <col min="1505" max="1508" width="0" style="619" hidden="1" customWidth="1"/>
    <col min="1509" max="1509" width="0" hidden="1" customWidth="1"/>
  </cols>
  <sheetData>
    <row r="1" spans="1:8" ht="77.099999999999994" customHeight="1">
      <c r="A1" s="149" t="e" vm="1">
        <v>#VALUE!</v>
      </c>
      <c r="B1" s="150"/>
      <c r="C1" s="150"/>
      <c r="D1" s="150"/>
      <c r="E1" s="652"/>
      <c r="F1" s="652"/>
      <c r="G1" s="652"/>
    </row>
    <row r="2" spans="1:8" ht="36" customHeight="1" thickBot="1">
      <c r="A2" s="677" t="s">
        <v>79</v>
      </c>
      <c r="B2" s="678"/>
      <c r="C2" s="678"/>
      <c r="D2" s="151"/>
      <c r="E2" s="675" t="str">
        <f>IF(E3&lt;&gt;'Solution-based'!E5,"Monthly minimum commitment inconsistency. Select the same commitment for both licensing options","")</f>
        <v/>
      </c>
      <c r="F2" s="675"/>
      <c r="G2" s="676"/>
      <c r="H2" s="503"/>
    </row>
    <row r="3" spans="1:8" ht="22.35" customHeight="1" thickBot="1">
      <c r="A3" s="457" t="s">
        <v>80</v>
      </c>
      <c r="B3" s="458"/>
      <c r="C3" s="454"/>
      <c r="D3" s="496">
        <f ca="1">MATCH(E3,INDIRECT("'Pricelist "&amp;'Solution-based'!$B$3&amp;"'!$G$2:$N$2"),0)</f>
        <v>1</v>
      </c>
      <c r="E3" s="616">
        <v>250</v>
      </c>
      <c r="F3" s="664" t="str" cm="1">
        <f t="array" aca="1" ref="F3" ca="1">IFERROR(IF(AND('Solution-based'!B3="JPY",E3=30000),"Only for SPs that already have this commitment",IF(D3=1,IF(G76&gt;'Calculator +1 tier'!F118,"Recommended to switch to higher commitment",""),IF(AND(D3=8,'Calculator -1 tier'!F117&gt;INDIRECT("'Pricelist "&amp;'Solution-based'!B3&amp;"'!N2")),"",IF(G76&gt;'Calculator -1 tier'!F118,"Recommended to switch to lower commitment",IF(G76&gt;'Calculator +1 tier'!F118,"Recommended to switch to higher commitment",""))))),"")</f>
        <v/>
      </c>
      <c r="G3" s="665"/>
      <c r="H3" s="503"/>
    </row>
    <row r="4" spans="1:8" ht="24.6" customHeight="1" thickBot="1">
      <c r="A4" s="455" t="s">
        <v>81</v>
      </c>
      <c r="B4" s="456"/>
      <c r="C4" s="701"/>
      <c r="D4" s="702"/>
      <c r="E4" s="535" t="s">
        <v>6</v>
      </c>
      <c r="F4" s="662" t="str">
        <f>IF(E4&lt;&gt;'Solution-based'!E6,"Select the same DC group for both licensing options","")</f>
        <v/>
      </c>
      <c r="G4" s="663"/>
      <c r="H4" s="497"/>
    </row>
    <row r="5" spans="1:8" ht="30.95" customHeight="1" thickBot="1">
      <c r="A5" s="659" t="s">
        <v>82</v>
      </c>
      <c r="B5" s="660"/>
      <c r="C5" s="661"/>
      <c r="D5" s="533" t="s">
        <v>8</v>
      </c>
      <c r="E5" s="533" t="s">
        <v>9</v>
      </c>
      <c r="F5" s="533" t="s">
        <v>10</v>
      </c>
      <c r="G5" s="533" t="s">
        <v>11</v>
      </c>
      <c r="H5" s="497"/>
    </row>
    <row r="6" spans="1:8" ht="19.5" customHeight="1">
      <c r="A6" s="644" t="s">
        <v>83</v>
      </c>
      <c r="B6" s="645"/>
      <c r="C6" s="110" t="s">
        <v>84</v>
      </c>
      <c r="D6" s="672" t="s">
        <v>14</v>
      </c>
      <c r="E6" s="399"/>
      <c r="F6" s="583" t="str">
        <f ca="1">IF(E6&gt;0,IFERROR(SUMIFS(INDIRECT("'Pricelist "&amp;'Solution-based'!$B$3&amp;"'!$"&amp;CHAR(70+$D$3)&amp;"$30:$"&amp;CHAR(70+$D$3)&amp;"$130"),INDIRECT("'Pricelist "&amp;'Solution-based'!$B$3&amp;"'!$O$30:$O$130"),C6),"Pricelist not found"),"")</f>
        <v/>
      </c>
      <c r="G6" s="583" t="str">
        <f t="shared" ref="G6:G58" ca="1" si="0">IFERROR(E6*F6,"")</f>
        <v/>
      </c>
      <c r="H6" s="497"/>
    </row>
    <row r="7" spans="1:8" ht="19.7" customHeight="1">
      <c r="A7" s="646"/>
      <c r="B7" s="647"/>
      <c r="C7" s="123" t="s">
        <v>85</v>
      </c>
      <c r="D7" s="672"/>
      <c r="E7" s="398"/>
      <c r="F7" s="584" t="str">
        <f ca="1">IF(E7&gt;0,IFERROR(SUMIFS(INDIRECT("'Pricelist "&amp;'Solution-based'!$B$3&amp;"'!$"&amp;CHAR(70+$D$3)&amp;"$30:$"&amp;CHAR(70+$D$3)&amp;"$130"),INDIRECT("'Pricelist "&amp;'Solution-based'!$B$3&amp;"'!$O$30:$O$130"),C7),"Pricelist not found"),"")</f>
        <v/>
      </c>
      <c r="G7" s="584" t="str">
        <f t="shared" ca="1" si="0"/>
        <v/>
      </c>
      <c r="H7" s="497"/>
    </row>
    <row r="8" spans="1:8" ht="19.7" customHeight="1">
      <c r="A8" s="646"/>
      <c r="B8" s="647"/>
      <c r="C8" s="131" t="s">
        <v>86</v>
      </c>
      <c r="D8" s="654" t="s">
        <v>87</v>
      </c>
      <c r="E8" s="399"/>
      <c r="F8" s="585" t="str">
        <f ca="1">IF(E8&gt;0,IFERROR(SUMIFS(INDIRECT("'Pricelist "&amp;'Solution-based'!$B$3&amp;"'!$"&amp;CHAR(70+$D$3)&amp;"$30:$"&amp;CHAR(70+$D$3)&amp;"$130"),INDIRECT("'Pricelist "&amp;'Solution-based'!$B$3&amp;"'!$O$30:$O$130"),C8),"Pricelist not found"),"")</f>
        <v/>
      </c>
      <c r="G8" s="585" t="str">
        <f t="shared" ca="1" si="0"/>
        <v/>
      </c>
      <c r="H8" s="497"/>
    </row>
    <row r="9" spans="1:8" ht="19.7" customHeight="1">
      <c r="A9" s="646"/>
      <c r="B9" s="647"/>
      <c r="C9" s="118" t="s">
        <v>88</v>
      </c>
      <c r="D9" s="654"/>
      <c r="E9" s="398"/>
      <c r="F9" s="584" t="str">
        <f ca="1">IF(E9&gt;0,IFERROR(SUMIFS(INDIRECT("'Pricelist "&amp;'Solution-based'!$B$3&amp;"'!$"&amp;CHAR(70+$D$3)&amp;"$30:$"&amp;CHAR(70+$D$3)&amp;"$130"),INDIRECT("'Pricelist "&amp;'Solution-based'!$B$3&amp;"'!$O$30:$O$130"),C9),"Pricelist not found"),"")</f>
        <v/>
      </c>
      <c r="G9" s="584" t="str">
        <f t="shared" ca="1" si="0"/>
        <v/>
      </c>
      <c r="H9" s="497"/>
    </row>
    <row r="10" spans="1:8" ht="19.7" customHeight="1">
      <c r="A10" s="646"/>
      <c r="B10" s="647"/>
      <c r="C10" s="131" t="s">
        <v>89</v>
      </c>
      <c r="D10" s="654"/>
      <c r="E10" s="399"/>
      <c r="F10" s="585" t="str">
        <f ca="1">IF(E10&gt;0,IFERROR(SUMIFS(INDIRECT("'Pricelist "&amp;'Solution-based'!$B$3&amp;"'!$"&amp;CHAR(70+$D$3)&amp;"$30:$"&amp;CHAR(70+$D$3)&amp;"$130"),INDIRECT("'Pricelist "&amp;'Solution-based'!$B$3&amp;"'!$O$30:$O$130"),C10),"Pricelist not found"),"")</f>
        <v/>
      </c>
      <c r="G10" s="585" t="str">
        <f t="shared" ref="G10:G11" ca="1" si="1">IFERROR(E10*F10,"")</f>
        <v/>
      </c>
      <c r="H10" s="497"/>
    </row>
    <row r="11" spans="1:8" ht="19.7" customHeight="1">
      <c r="A11" s="646"/>
      <c r="B11" s="647"/>
      <c r="C11" s="118" t="s">
        <v>90</v>
      </c>
      <c r="D11" s="654"/>
      <c r="E11" s="398"/>
      <c r="F11" s="584" t="str">
        <f ca="1">IF(E11&gt;0,IFERROR(SUMIFS(INDIRECT("'Pricelist "&amp;'Solution-based'!$B$3&amp;"'!$"&amp;CHAR(70+$D$3)&amp;"$30:$"&amp;CHAR(70+$D$3)&amp;"$130"),INDIRECT("'Pricelist "&amp;'Solution-based'!$B$3&amp;"'!$O$30:$O$130"),C11),"Pricelist not found"),"")</f>
        <v/>
      </c>
      <c r="G11" s="584" t="str">
        <f t="shared" ca="1" si="1"/>
        <v/>
      </c>
      <c r="H11" s="497"/>
    </row>
    <row r="12" spans="1:8" ht="19.7" customHeight="1">
      <c r="A12" s="646"/>
      <c r="B12" s="647"/>
      <c r="C12" s="131" t="s">
        <v>91</v>
      </c>
      <c r="D12" s="654"/>
      <c r="E12" s="399"/>
      <c r="F12" s="585" t="str">
        <f ca="1">IF(E12&gt;0,IFERROR(SUMIFS(INDIRECT("'Pricelist "&amp;'Solution-based'!$B$3&amp;"'!$"&amp;CHAR(70+$D$3)&amp;"$30:$"&amp;CHAR(70+$D$3)&amp;"$130"),INDIRECT("'Pricelist "&amp;'Solution-based'!$B$3&amp;"'!$O$30:$O$130"),C12),"Pricelist not found"),"")</f>
        <v/>
      </c>
      <c r="G12" s="585" t="str">
        <f t="shared" ca="1" si="0"/>
        <v/>
      </c>
      <c r="H12" s="497"/>
    </row>
    <row r="13" spans="1:8" ht="19.7" customHeight="1">
      <c r="A13" s="646"/>
      <c r="B13" s="647"/>
      <c r="C13" s="118" t="s">
        <v>92</v>
      </c>
      <c r="D13" s="654"/>
      <c r="E13" s="398"/>
      <c r="F13" s="584" t="str">
        <f ca="1">IF(E13&gt;0,IFERROR(SUMIFS(INDIRECT("'Pricelist "&amp;'Solution-based'!$B$3&amp;"'!$"&amp;CHAR(70+$D$3)&amp;"$30:$"&amp;CHAR(70+$D$3)&amp;"$130"),INDIRECT("'Pricelist "&amp;'Solution-based'!$B$3&amp;"'!$O$30:$O$130"),C13),"Pricelist not found"),"")</f>
        <v/>
      </c>
      <c r="G13" s="584" t="str">
        <f t="shared" ca="1" si="0"/>
        <v/>
      </c>
      <c r="H13" s="497"/>
    </row>
    <row r="14" spans="1:8" ht="19.7" customHeight="1">
      <c r="A14" s="646"/>
      <c r="B14" s="647"/>
      <c r="C14" s="131" t="s">
        <v>93</v>
      </c>
      <c r="D14" s="372" t="s">
        <v>14</v>
      </c>
      <c r="E14" s="399"/>
      <c r="F14" s="583" t="str">
        <f ca="1">IF(E14&gt;0,IFERROR(SUMIFS(INDIRECT("'Pricelist "&amp;'Solution-based'!$B$3&amp;"'!$"&amp;CHAR(70+$D$3)&amp;"$30:$"&amp;CHAR(70+$D$3)&amp;"$130"),INDIRECT("'Pricelist "&amp;'Solution-based'!$B$3&amp;"'!$O$30:$O$130"),C14),"Pricelist not found"),"")</f>
        <v/>
      </c>
      <c r="G14" s="567" t="str">
        <f t="shared" ref="G14" ca="1" si="2">IFERROR(E14*F14,"")</f>
        <v/>
      </c>
      <c r="H14" s="497"/>
    </row>
    <row r="15" spans="1:8" ht="19.7" customHeight="1" thickBot="1">
      <c r="A15" s="648"/>
      <c r="B15" s="649"/>
      <c r="C15" s="303" t="s">
        <v>94</v>
      </c>
      <c r="D15" s="249" t="s">
        <v>14</v>
      </c>
      <c r="E15" s="400"/>
      <c r="F15" s="559" t="str">
        <f ca="1">IF(E15&gt;0,IFERROR(SUMIFS(INDIRECT("'Pricelist "&amp;'Solution-based'!$B$3&amp;"'!$"&amp;CHAR(70+$D$3)&amp;"$30:$"&amp;CHAR(70+$D$3)&amp;"$130"),INDIRECT("'Pricelist "&amp;'Solution-based'!$B$3&amp;"'!$O$30:$O$130"),C15),"Pricelist not found"),"")</f>
        <v/>
      </c>
      <c r="G15" s="594" t="str">
        <f ca="1">IFERROR(E15*F15,"")</f>
        <v/>
      </c>
      <c r="H15" s="497"/>
    </row>
    <row r="16" spans="1:8" ht="19.7" customHeight="1">
      <c r="A16" s="650" t="s">
        <v>95</v>
      </c>
      <c r="B16" s="651"/>
      <c r="C16" s="306" t="s">
        <v>96</v>
      </c>
      <c r="D16" s="690" t="s">
        <v>14</v>
      </c>
      <c r="E16" s="397"/>
      <c r="F16" s="586" t="str">
        <f ca="1">IF(E16&gt;0,IFERROR(SUMIFS(INDIRECT("'Pricelist "&amp;'Solution-based'!$B$3&amp;"'!$"&amp;CHAR(70+$D$3)&amp;"$30:$"&amp;CHAR(70+$D$3)&amp;"$130"),INDIRECT("'Pricelist "&amp;'Solution-based'!$B$3&amp;"'!$O$30:$O$130"),C16),"Pricelist not found"),"")</f>
        <v/>
      </c>
      <c r="G16" s="609" t="str">
        <f t="shared" ca="1" si="0"/>
        <v/>
      </c>
      <c r="H16" s="497"/>
    </row>
    <row r="17" spans="1:8" ht="19.7" customHeight="1">
      <c r="A17" s="646"/>
      <c r="B17" s="647"/>
      <c r="C17" s="117" t="s">
        <v>97</v>
      </c>
      <c r="D17" s="672"/>
      <c r="E17" s="398"/>
      <c r="F17" s="587" t="str">
        <f ca="1">IF(E17&gt;0,IFERROR(SUMIFS(INDIRECT("'Pricelist "&amp;'Solution-based'!$B$3&amp;"'!$"&amp;CHAR(70+$D$3)&amp;"$30:$"&amp;CHAR(70+$D$3)&amp;"$130"),INDIRECT("'Pricelist "&amp;'Solution-based'!$B$3&amp;"'!$O$30:$O$130"),C17),"Pricelist not found"),"")</f>
        <v/>
      </c>
      <c r="G17" s="575" t="str">
        <f t="shared" ca="1" si="0"/>
        <v/>
      </c>
      <c r="H17" s="497"/>
    </row>
    <row r="18" spans="1:8" ht="19.7" customHeight="1" thickBot="1">
      <c r="A18" s="648"/>
      <c r="B18" s="649"/>
      <c r="C18" s="116" t="s">
        <v>98</v>
      </c>
      <c r="D18" s="691"/>
      <c r="E18" s="401"/>
      <c r="F18" s="588" t="str">
        <f ca="1">IF(E18&gt;0,IFERROR(SUMIFS(INDIRECT("'Pricelist "&amp;'Solution-based'!$B$3&amp;"'!$"&amp;CHAR(70+$D$3)&amp;"$42:$"&amp;CHAR(70+$D$3)&amp;"$130"),INDIRECT("'Pricelist "&amp;'Solution-based'!$B$3&amp;"'!$O$42:$O$130"),C18),"Pricelist not found"),"")</f>
        <v/>
      </c>
      <c r="G18" s="610" t="str">
        <f ca="1">IFERROR(E18*F18,"")</f>
        <v/>
      </c>
      <c r="H18" s="497"/>
    </row>
    <row r="19" spans="1:8" ht="19.7" customHeight="1" thickBot="1">
      <c r="A19" s="679" t="s">
        <v>39</v>
      </c>
      <c r="B19" s="680"/>
      <c r="C19" s="132" t="s">
        <v>99</v>
      </c>
      <c r="D19" s="407" t="s">
        <v>14</v>
      </c>
      <c r="E19" s="402"/>
      <c r="F19" s="589" t="str">
        <f ca="1">IF(E19&gt;0,IFERROR(SUMIFS(INDIRECT("'Pricelist "&amp;'Solution-based'!$B$3&amp;"'!$"&amp;CHAR(70+$D$3)&amp;"$42:$"&amp;CHAR(70+$D$3)&amp;"$130"),INDIRECT("'Pricelist "&amp;'Solution-based'!$B$3&amp;"'!$O$42:$O$130"),C19),"Pricelist not found"),"")</f>
        <v/>
      </c>
      <c r="G19" s="589" t="str">
        <f t="shared" ca="1" si="0"/>
        <v/>
      </c>
      <c r="H19" s="497"/>
    </row>
    <row r="20" spans="1:8" ht="19.7" customHeight="1" thickBot="1">
      <c r="A20" s="650" t="s">
        <v>100</v>
      </c>
      <c r="B20" s="651"/>
      <c r="C20" s="164" t="s">
        <v>101</v>
      </c>
      <c r="D20" s="373" t="s">
        <v>14</v>
      </c>
      <c r="E20" s="401"/>
      <c r="F20" s="590" t="str">
        <f ca="1">IF(E20&gt;0,IFERROR(SUMIFS(INDIRECT("'Pricelist "&amp;'Solution-based'!$B$3&amp;"'!$"&amp;CHAR(70+$D$3)&amp;"$42:$"&amp;CHAR(70+$D$3)&amp;"$130"),INDIRECT("'Pricelist "&amp;'Solution-based'!$B$3&amp;"'!$O$42:$O$130"),C20),"Pricelist not found"),"")</f>
        <v/>
      </c>
      <c r="G20" s="590" t="str">
        <f t="shared" ca="1" si="0"/>
        <v/>
      </c>
      <c r="H20" s="497"/>
    </row>
    <row r="21" spans="1:8" ht="19.7" customHeight="1" thickBot="1">
      <c r="A21" s="673" t="s">
        <v>102</v>
      </c>
      <c r="B21" s="674"/>
      <c r="C21" s="132" t="s">
        <v>103</v>
      </c>
      <c r="D21" s="407" t="s">
        <v>14</v>
      </c>
      <c r="E21" s="402"/>
      <c r="F21" s="589" t="str">
        <f ca="1">IF(E21&gt;0,IFERROR(SUMIFS(INDIRECT("'Pricelist "&amp;'Solution-based'!$B$3&amp;"'!$"&amp;CHAR(70+$D$3)&amp;"$42:$"&amp;CHAR(70+$D$3)&amp;"$130"),INDIRECT("'Pricelist "&amp;'Solution-based'!$B$3&amp;"'!$O$42:$O$130"),C21),"Pricelist not found"),"")</f>
        <v/>
      </c>
      <c r="G21" s="589" t="str">
        <f t="shared" ca="1" si="0"/>
        <v/>
      </c>
      <c r="H21" s="497"/>
    </row>
    <row r="22" spans="1:8" ht="17.100000000000001" customHeight="1">
      <c r="A22" s="681" t="s">
        <v>104</v>
      </c>
      <c r="B22" s="666" t="s">
        <v>105</v>
      </c>
      <c r="C22" s="523" t="s">
        <v>106</v>
      </c>
      <c r="D22" s="669" t="s">
        <v>14</v>
      </c>
      <c r="E22" s="397"/>
      <c r="F22" s="591" t="str">
        <f ca="1">IF(E22&gt;0,IFERROR(SUMIFS(INDIRECT("'Pricelist "&amp;'Solution-based'!$B$3&amp;"'!$"&amp;CHAR(70+$D$3)&amp;"$42:$"&amp;CHAR(70+$D$3)&amp;"$130"),INDIRECT("'Pricelist "&amp;'Solution-based'!$B$3&amp;"'!$O$42:$O$130"),C22),"Pricelist not found"),"")</f>
        <v/>
      </c>
      <c r="G22" s="574" t="str">
        <f t="shared" ca="1" si="0"/>
        <v/>
      </c>
      <c r="H22" s="497"/>
    </row>
    <row r="23" spans="1:8" ht="17.100000000000001" customHeight="1">
      <c r="A23" s="682"/>
      <c r="B23" s="667"/>
      <c r="C23" s="524" t="s">
        <v>107</v>
      </c>
      <c r="D23" s="670"/>
      <c r="E23" s="398"/>
      <c r="F23" s="587" t="str">
        <f ca="1">IF(E23&gt;0,IFERROR(SUMIFS(INDIRECT("'Pricelist "&amp;'Solution-based'!$B$3&amp;"'!$"&amp;CHAR(70+$D$3)&amp;"$42:$"&amp;CHAR(70+$D$3)&amp;"$130"),INDIRECT("'Pricelist "&amp;'Solution-based'!$B$3&amp;"'!$O$42:$O$130"),C23),"Pricelist not found"),"")</f>
        <v/>
      </c>
      <c r="G23" s="575" t="str">
        <f t="shared" ca="1" si="0"/>
        <v/>
      </c>
      <c r="H23" s="497"/>
    </row>
    <row r="24" spans="1:8" ht="17.100000000000001" customHeight="1">
      <c r="A24" s="682"/>
      <c r="B24" s="667"/>
      <c r="C24" s="523" t="s">
        <v>108</v>
      </c>
      <c r="D24" s="670"/>
      <c r="E24" s="399"/>
      <c r="F24" s="591" t="str">
        <f ca="1">IF(E24&gt;0,IFERROR(SUMIFS(INDIRECT("'Pricelist "&amp;'Solution-based'!$B$3&amp;"'!$"&amp;CHAR(70+$D$3)&amp;"$42:$"&amp;CHAR(70+$D$3)&amp;"$130"),INDIRECT("'Pricelist "&amp;'Solution-based'!$B$3&amp;"'!$O$42:$O$130"),C24),"Pricelist not found"),"")</f>
        <v/>
      </c>
      <c r="G24" s="574" t="str">
        <f ca="1">IFERROR(E24*F24,"")</f>
        <v/>
      </c>
      <c r="H24" s="497"/>
    </row>
    <row r="25" spans="1:8" ht="17.100000000000001" customHeight="1">
      <c r="A25" s="682"/>
      <c r="B25" s="667"/>
      <c r="C25" s="518" t="s">
        <v>109</v>
      </c>
      <c r="D25" s="670"/>
      <c r="E25" s="398"/>
      <c r="F25" s="587" t="str">
        <f ca="1">IF(E25&gt;0,IFERROR(SUMIFS(INDIRECT("'Pricelist "&amp;'Solution-based'!$B$3&amp;"'!$"&amp;CHAR(70+$D$3)&amp;"$42:$"&amp;CHAR(70+$D$3)&amp;"$130"),INDIRECT("'Pricelist "&amp;'Solution-based'!$B$3&amp;"'!$O$42:$O$130"),C25),"Pricelist not found"),"")</f>
        <v/>
      </c>
      <c r="G25" s="575" t="str">
        <f ca="1">IFERROR(E25*F25,"")</f>
        <v/>
      </c>
      <c r="H25" s="497"/>
    </row>
    <row r="26" spans="1:8" ht="17.100000000000001" customHeight="1">
      <c r="A26" s="682"/>
      <c r="B26" s="667"/>
      <c r="C26" s="523" t="s">
        <v>110</v>
      </c>
      <c r="D26" s="670"/>
      <c r="E26" s="399"/>
      <c r="F26" s="591" t="str">
        <f ca="1">IF(E26&gt;0,IFERROR(SUMIFS(INDIRECT("'Pricelist "&amp;'Solution-based'!$B$3&amp;"'!$"&amp;CHAR(70+$D$3)&amp;"$42:$"&amp;CHAR(70+$D$3)&amp;"$130"),INDIRECT("'Pricelist "&amp;'Solution-based'!$B$3&amp;"'!$O$42:$O$130"),C26),"Pricelist not found"),"")</f>
        <v/>
      </c>
      <c r="G26" s="574" t="str">
        <f t="shared" ca="1" si="0"/>
        <v/>
      </c>
      <c r="H26" s="497"/>
    </row>
    <row r="27" spans="1:8" ht="17.100000000000001" customHeight="1">
      <c r="A27" s="682"/>
      <c r="B27" s="667"/>
      <c r="C27" s="525" t="s">
        <v>111</v>
      </c>
      <c r="D27" s="670"/>
      <c r="E27" s="398"/>
      <c r="F27" s="587" t="str">
        <f ca="1">IF(E27&gt;0,IFERROR(SUMIFS(INDIRECT("'Pricelist "&amp;'Solution-based'!$B$3&amp;"'!$"&amp;CHAR(70+$D$3)&amp;"$42:$"&amp;CHAR(70+$D$3)&amp;"$130"),INDIRECT("'Pricelist "&amp;'Solution-based'!$B$3&amp;"'!$O$42:$O$130"),C27,INDIRECT("'Pricelist "&amp;'Solution-based'!$B$3&amp;"'!$E$42:$E$130"),$E$4),"Pricelist not found"),"")</f>
        <v/>
      </c>
      <c r="G27" s="575" t="str">
        <f t="shared" ca="1" si="0"/>
        <v/>
      </c>
      <c r="H27" s="497"/>
    </row>
    <row r="28" spans="1:8" ht="17.100000000000001" customHeight="1">
      <c r="A28" s="682"/>
      <c r="B28" s="667"/>
      <c r="C28" s="523" t="s">
        <v>112</v>
      </c>
      <c r="D28" s="670"/>
      <c r="E28" s="399"/>
      <c r="F28" s="591" t="str">
        <f ca="1">IF(E28&gt;0,IFERROR(SUMIFS(INDIRECT("'Pricelist "&amp;'Solution-based'!$B$3&amp;"'!$"&amp;CHAR(70+$D$3)&amp;"$42:$"&amp;CHAR(70+$D$3)&amp;"$130"),INDIRECT("'Pricelist "&amp;'Solution-based'!$B$3&amp;"'!$O$42:$O$130"),C28),"Pricelist not found"),"")</f>
        <v/>
      </c>
      <c r="G28" s="574" t="str">
        <f t="shared" ca="1" si="0"/>
        <v/>
      </c>
      <c r="H28" s="497"/>
    </row>
    <row r="29" spans="1:8" ht="17.100000000000001" customHeight="1">
      <c r="A29" s="682"/>
      <c r="B29" s="667"/>
      <c r="C29" s="525" t="s">
        <v>113</v>
      </c>
      <c r="D29" s="670"/>
      <c r="E29" s="398"/>
      <c r="F29" s="592" t="str">
        <f>IF(E29&gt;0,0,"")</f>
        <v/>
      </c>
      <c r="G29" s="611" t="str">
        <f>IFERROR(E29*F29,"")</f>
        <v/>
      </c>
      <c r="H29" s="497"/>
    </row>
    <row r="30" spans="1:8" ht="17.100000000000001" customHeight="1">
      <c r="A30" s="682"/>
      <c r="B30" s="667"/>
      <c r="C30" s="523" t="s">
        <v>114</v>
      </c>
      <c r="D30" s="670"/>
      <c r="E30" s="399"/>
      <c r="F30" s="593" t="str">
        <f>IF(E30&gt;0,0,"")</f>
        <v/>
      </c>
      <c r="G30" s="612" t="str">
        <f>IFERROR(E30*F30,"")</f>
        <v/>
      </c>
      <c r="H30" s="497"/>
    </row>
    <row r="31" spans="1:8" ht="17.100000000000001" customHeight="1">
      <c r="A31" s="682"/>
      <c r="B31" s="667"/>
      <c r="C31" s="525" t="s">
        <v>115</v>
      </c>
      <c r="D31" s="670"/>
      <c r="E31" s="398"/>
      <c r="F31" s="587" t="str">
        <f ca="1">IF(E31&gt;0,IFERROR(SUMIFS(INDIRECT("'Pricelist "&amp;'Solution-based'!$B$3&amp;"'!$"&amp;CHAR(70+$D$3)&amp;"$42:$"&amp;CHAR(70+$D$3)&amp;"$130"),INDIRECT("'Pricelist "&amp;'Solution-based'!$B$3&amp;"'!$O$42:$O$130"),C31,INDIRECT("'Pricelist "&amp;'Solution-based'!$B$3&amp;"'!$E$42:$E$130"),$E$4),"Pricelist not found"),"")</f>
        <v/>
      </c>
      <c r="G31" s="575" t="str">
        <f t="shared" ca="1" si="0"/>
        <v/>
      </c>
      <c r="H31" s="497"/>
    </row>
    <row r="32" spans="1:8" ht="17.100000000000001" customHeight="1">
      <c r="A32" s="682"/>
      <c r="B32" s="667"/>
      <c r="C32" s="523" t="s">
        <v>116</v>
      </c>
      <c r="D32" s="670"/>
      <c r="E32" s="399"/>
      <c r="F32" s="591" t="str">
        <f ca="1">IF(E32&gt;0,IFERROR(SUMIFS(INDIRECT("'Pricelist "&amp;'Solution-based'!$B$3&amp;"'!$"&amp;CHAR(70+$D$3)&amp;"$42:$"&amp;CHAR(70+$D$3)&amp;"$130"),INDIRECT("'Pricelist "&amp;'Solution-based'!$B$3&amp;"'!$O$42:$O$130"),C32),"Pricelist not found"),"")</f>
        <v/>
      </c>
      <c r="G32" s="574" t="str">
        <f t="shared" ca="1" si="0"/>
        <v/>
      </c>
      <c r="H32" s="497"/>
    </row>
    <row r="33" spans="1:8" ht="17.100000000000001" customHeight="1">
      <c r="A33" s="682"/>
      <c r="B33" s="667"/>
      <c r="C33" s="524" t="s">
        <v>117</v>
      </c>
      <c r="D33" s="670"/>
      <c r="E33" s="398"/>
      <c r="F33" s="587" t="str">
        <f ca="1">IF(E33&gt;0,IFERROR(SUMIFS(INDIRECT("'Pricelist "&amp;'Solution-based'!$B$3&amp;"'!$"&amp;CHAR(70+$D$3)&amp;"$42:$"&amp;CHAR(70+$D$3)&amp;"$130"),INDIRECT("'Pricelist "&amp;'Solution-based'!$B$3&amp;"'!$O$42:$O$130"),C33),"Pricelist not found"),"")</f>
        <v/>
      </c>
      <c r="G33" s="575" t="str">
        <f t="shared" ca="1" si="0"/>
        <v/>
      </c>
      <c r="H33" s="497"/>
    </row>
    <row r="34" spans="1:8" ht="17.100000000000001" customHeight="1">
      <c r="A34" s="682"/>
      <c r="B34" s="667"/>
      <c r="C34" s="526" t="s">
        <v>118</v>
      </c>
      <c r="D34" s="670"/>
      <c r="E34" s="631"/>
      <c r="F34" s="591" t="str">
        <f ca="1">IF(E34&gt;0,IFERROR(SUMIFS(INDIRECT("'Pricelist "&amp;'Solution-based'!$B$3&amp;"'!$"&amp;CHAR(70+$D$3)&amp;"$42:$"&amp;CHAR(70+$D$3)&amp;"$130"),INDIRECT("'Pricelist "&amp;'Solution-based'!$B$3&amp;"'!$O$42:$O$130"),C34,INDIRECT("'Pricelist "&amp;'Solution-based'!$B$3&amp;"'!$E$42:$E$130"),$E$4),"Pricelist not found"),"")</f>
        <v/>
      </c>
      <c r="G34" s="574" t="str">
        <f t="shared" ca="1" si="0"/>
        <v/>
      </c>
      <c r="H34" s="497"/>
    </row>
    <row r="35" spans="1:8" ht="17.100000000000001" customHeight="1" thickBot="1">
      <c r="A35" s="682"/>
      <c r="B35" s="668"/>
      <c r="C35" s="527" t="s">
        <v>119</v>
      </c>
      <c r="D35" s="671"/>
      <c r="E35" s="636"/>
      <c r="F35" s="594" t="str">
        <f ca="1">IF(E35&gt;0,IFERROR(SUMIFS(INDIRECT("'Pricelist "&amp;'Solution-based'!$B$3&amp;"'!$"&amp;CHAR(70+$D$3)&amp;"$42:$"&amp;CHAR(70+$D$3)&amp;"$130"),INDIRECT("'Pricelist "&amp;'Solution-based'!$B$3&amp;"'!$O$42:$O$130"),C35),"Pricelist not found"),"")</f>
        <v/>
      </c>
      <c r="G35" s="559" t="str">
        <f t="shared" ca="1" si="0"/>
        <v/>
      </c>
      <c r="H35" s="497"/>
    </row>
    <row r="36" spans="1:8" ht="17.100000000000001" customHeight="1">
      <c r="A36" s="682"/>
      <c r="B36" s="687" t="s">
        <v>120</v>
      </c>
      <c r="C36" s="522" t="s">
        <v>121</v>
      </c>
      <c r="D36" s="684" t="s">
        <v>14</v>
      </c>
      <c r="E36" s="634"/>
      <c r="F36" s="577" t="str">
        <f ca="1">IF(E36&gt;0,IFERROR(SUMIFS(INDIRECT("'Pricelist "&amp;'Solution-based'!$B$3&amp;"'!$"&amp;CHAR(70+$D$3)&amp;"$42:$"&amp;CHAR(70+$D$3)&amp;"$130"),INDIRECT("'Pricelist "&amp;'Solution-based'!$B$3&amp;"'!$O$42:$O$130"),C36,INDIRECT("'Pricelist "&amp;'Solution-based'!$B$3&amp;"'!$E$42:$E$130"),$E$4),"Pricelist not found"),"")</f>
        <v/>
      </c>
      <c r="G36" s="577" t="str">
        <f t="shared" ca="1" si="0"/>
        <v/>
      </c>
      <c r="H36" s="497"/>
    </row>
    <row r="37" spans="1:8" ht="17.100000000000001" customHeight="1">
      <c r="A37" s="682"/>
      <c r="B37" s="688"/>
      <c r="C37" s="516" t="s">
        <v>122</v>
      </c>
      <c r="D37" s="685"/>
      <c r="E37" s="632"/>
      <c r="F37" s="575" t="str">
        <f ca="1">IF(E37&gt;0,IFERROR(SUMIFS(INDIRECT("'Pricelist "&amp;'Solution-based'!$B$3&amp;"'!$"&amp;CHAR(70+$D$3)&amp;"$42:$"&amp;CHAR(70+$D$3)&amp;"$130"),INDIRECT("'Pricelist "&amp;'Solution-based'!$B$3&amp;"'!$O$42:$O$130"),C37),"Pricelist not found"),"")</f>
        <v/>
      </c>
      <c r="G37" s="575" t="str">
        <f t="shared" ca="1" si="0"/>
        <v/>
      </c>
      <c r="H37" s="497"/>
    </row>
    <row r="38" spans="1:8" ht="17.100000000000001" customHeight="1">
      <c r="A38" s="682"/>
      <c r="B38" s="688"/>
      <c r="C38" s="517" t="s">
        <v>123</v>
      </c>
      <c r="D38" s="685"/>
      <c r="E38" s="631"/>
      <c r="F38" s="574" t="str">
        <f ca="1">IF(E38&gt;0,IFERROR(SUMIFS(INDIRECT("'Pricelist "&amp;'Solution-based'!$B$3&amp;"'!$"&amp;CHAR(70+$D$3)&amp;"$42:$"&amp;CHAR(70+$D$3)&amp;"$130"),INDIRECT("'Pricelist "&amp;'Solution-based'!$B$3&amp;"'!$O$42:$O$130"),C38),"Pricelist not found"),"")</f>
        <v/>
      </c>
      <c r="G38" s="574" t="str">
        <f t="shared" ca="1" si="0"/>
        <v/>
      </c>
      <c r="H38" s="497"/>
    </row>
    <row r="39" spans="1:8" ht="17.100000000000001" customHeight="1" thickBot="1">
      <c r="A39" s="682"/>
      <c r="B39" s="689"/>
      <c r="C39" s="518" t="s">
        <v>124</v>
      </c>
      <c r="D39" s="686"/>
      <c r="E39" s="636"/>
      <c r="F39" s="559" t="str">
        <f ca="1">IF(E39&gt;0,IFERROR(SUMIFS(INDIRECT("'Pricelist "&amp;'Solution-based'!$B$3&amp;"'!$"&amp;CHAR(70+$D$3)&amp;"$42:$"&amp;CHAR(70+$D$3)&amp;"$130"),INDIRECT("'Pricelist "&amp;'Solution-based'!$B$3&amp;"'!$O$42:$O$130"),C39),"Pricelist not found"),"")</f>
        <v/>
      </c>
      <c r="G39" s="559" t="str">
        <f t="shared" ca="1" si="0"/>
        <v/>
      </c>
      <c r="H39" s="497"/>
    </row>
    <row r="40" spans="1:8" ht="30" customHeight="1" thickBot="1">
      <c r="A40" s="682"/>
      <c r="B40" s="520" t="s">
        <v>125</v>
      </c>
      <c r="C40" s="519" t="s">
        <v>126</v>
      </c>
      <c r="D40" s="373" t="s">
        <v>14</v>
      </c>
      <c r="E40" s="631"/>
      <c r="F40" s="590" t="str">
        <f ca="1">IF(E40&gt;0,IFERROR(SUMIFS(INDIRECT("'Pricelist "&amp;'Solution-based'!$B$3&amp;"'!$"&amp;CHAR(70+$D$3)&amp;"$42:$"&amp;CHAR(70+$D$3)&amp;"$130"),INDIRECT("'Pricelist "&amp;'Solution-based'!$B$3&amp;"'!$O$42:$O$130"),C40),"Pricelist not found"),"")</f>
        <v/>
      </c>
      <c r="G40" s="590" t="str">
        <f t="shared" ca="1" si="0"/>
        <v/>
      </c>
      <c r="H40" s="497"/>
    </row>
    <row r="41" spans="1:8" ht="17.100000000000001" customHeight="1">
      <c r="A41" s="682"/>
      <c r="B41" s="656" t="s">
        <v>44</v>
      </c>
      <c r="C41" s="521" t="s">
        <v>127</v>
      </c>
      <c r="D41" s="653" t="s">
        <v>128</v>
      </c>
      <c r="E41" s="635"/>
      <c r="F41" s="569" t="str">
        <f ca="1">IF(AND(E41&gt;0,$E$4="G2"),"Not available for G2",IF(E41&gt;0,IFERROR(SUMIFS(INDIRECT("'Pricelist "&amp;'Solution-based'!$B$3&amp;"'!$"&amp;CHAR(70+$D$3)&amp;"$42:$"&amp;CHAR(70+$D$3)&amp;"$130"),INDIRECT("'Pricelist "&amp;'Solution-based'!$B$3&amp;"'!$O$42:$O$130"),C41),"Pricelist not found"),""))</f>
        <v/>
      </c>
      <c r="G41" s="596" t="str">
        <f t="shared" ca="1" si="0"/>
        <v/>
      </c>
      <c r="H41" s="497"/>
    </row>
    <row r="42" spans="1:8" ht="17.100000000000001" customHeight="1">
      <c r="A42" s="682"/>
      <c r="B42" s="657"/>
      <c r="C42" s="505" t="s">
        <v>129</v>
      </c>
      <c r="D42" s="654"/>
      <c r="E42" s="399"/>
      <c r="F42" s="561" t="str">
        <f ca="1">IF(AND(E42&gt;0,$E$4="G2"),"Not available for G2",IF(E42&gt;0,IFERROR(SUMIFS(INDIRECT("'Pricelist "&amp;'Solution-based'!$B$3&amp;"'!$"&amp;CHAR(70+$D$3)&amp;"$42:$"&amp;CHAR(70+$D$3)&amp;"$130"),INDIRECT("'Pricelist "&amp;'Solution-based'!$B$3&amp;"'!$O$42:$O$130"),C42),"Pricelist not found"),""))</f>
        <v/>
      </c>
      <c r="G42" s="597" t="str">
        <f t="shared" ca="1" si="0"/>
        <v/>
      </c>
      <c r="H42" s="497"/>
    </row>
    <row r="43" spans="1:8" ht="17.100000000000001" customHeight="1" thickBot="1">
      <c r="A43" s="682"/>
      <c r="B43" s="658"/>
      <c r="C43" s="511" t="s">
        <v>130</v>
      </c>
      <c r="D43" s="655"/>
      <c r="E43" s="403"/>
      <c r="F43" s="559" t="str">
        <f ca="1">IF(AND(E43&gt;0,$E$4="G2"),"Not available for G2",IF(E43&gt;0,IFERROR(SUMIFS(INDIRECT("'Pricelist "&amp;'Solution-based'!$B$3&amp;"'!$"&amp;CHAR(70+$D$3)&amp;"$42:$"&amp;CHAR(70+$D$3)&amp;"$130"),INDIRECT("'Pricelist "&amp;'Solution-based'!$B$3&amp;"'!$O$42:$O$130"),C43),"Pricelist not found"),""))</f>
        <v/>
      </c>
      <c r="G43" s="594" t="str">
        <f t="shared" ca="1" si="0"/>
        <v/>
      </c>
      <c r="H43" s="497"/>
    </row>
    <row r="44" spans="1:8" ht="17.100000000000001" customHeight="1">
      <c r="A44" s="682"/>
      <c r="B44" s="687" t="s">
        <v>131</v>
      </c>
      <c r="C44" s="515" t="s">
        <v>132</v>
      </c>
      <c r="D44" s="690" t="s">
        <v>128</v>
      </c>
      <c r="E44" s="399"/>
      <c r="F44" s="577" t="str">
        <f ca="1">IF(E44&gt;0,IFERROR(SUMIFS(INDIRECT("'Pricelist "&amp;'Solution-based'!$B$3&amp;"'!$"&amp;CHAR(70+$D$3)&amp;"$42:$"&amp;CHAR(70+$D$3)&amp;"$130"),INDIRECT("'Pricelist "&amp;'Solution-based'!$B$3&amp;"'!$O$42:$O$130"),C44),"Pricelist not found"),"")</f>
        <v/>
      </c>
      <c r="G44" s="577" t="str">
        <f t="shared" ca="1" si="0"/>
        <v/>
      </c>
      <c r="H44" s="497"/>
    </row>
    <row r="45" spans="1:8" ht="17.100000000000001" customHeight="1">
      <c r="A45" s="682"/>
      <c r="B45" s="688"/>
      <c r="C45" s="516" t="s">
        <v>133</v>
      </c>
      <c r="D45" s="672"/>
      <c r="E45" s="398"/>
      <c r="F45" s="575" t="str">
        <f ca="1">IF(E45&gt;0,IFERROR(SUMIFS(INDIRECT("'Pricelist "&amp;'Solution-based'!$B$3&amp;"'!$"&amp;CHAR(70+$D$3)&amp;"$42:$"&amp;CHAR(70+$D$3)&amp;"$130"),INDIRECT("'Pricelist "&amp;'Solution-based'!$B$3&amp;"'!$O$42:$O$130"),C45),"Pricelist not found"),"")</f>
        <v/>
      </c>
      <c r="G45" s="575" t="str">
        <f t="shared" ca="1" si="0"/>
        <v/>
      </c>
      <c r="H45" s="497"/>
    </row>
    <row r="46" spans="1:8" ht="17.100000000000001" customHeight="1">
      <c r="A46" s="682"/>
      <c r="B46" s="688"/>
      <c r="C46" s="517" t="s">
        <v>134</v>
      </c>
      <c r="D46" s="672"/>
      <c r="E46" s="399"/>
      <c r="F46" s="574" t="str">
        <f ca="1">IF(E46&gt;0,IFERROR(SUMIFS(INDIRECT("'Pricelist "&amp;'Solution-based'!$B$3&amp;"'!$"&amp;CHAR(70+$D$3)&amp;"$42:$"&amp;CHAR(70+$D$3)&amp;"$130"),INDIRECT("'Pricelist "&amp;'Solution-based'!$B$3&amp;"'!$O$42:$O$130"),C46),"Pricelist not found"),"")</f>
        <v/>
      </c>
      <c r="G46" s="574" t="str">
        <f t="shared" ca="1" si="0"/>
        <v/>
      </c>
      <c r="H46" s="497"/>
    </row>
    <row r="47" spans="1:8" ht="17.100000000000001" customHeight="1" thickBot="1">
      <c r="A47" s="683"/>
      <c r="B47" s="689"/>
      <c r="C47" s="518" t="s">
        <v>135</v>
      </c>
      <c r="D47" s="691"/>
      <c r="E47" s="398"/>
      <c r="F47" s="559" t="str">
        <f ca="1">IF(E47&gt;0,IFERROR(SUMIFS(INDIRECT("'Pricelist "&amp;'Solution-based'!$B$3&amp;"'!$"&amp;CHAR(70+$D$3)&amp;"$42:$"&amp;CHAR(70+$D$3)&amp;"$130"),INDIRECT("'Pricelist "&amp;'Solution-based'!$B$3&amp;"'!$O$42:$O$130"),C47),"Pricelist not found"),"")</f>
        <v/>
      </c>
      <c r="G47" s="559" t="str">
        <f t="shared" ca="1" si="0"/>
        <v/>
      </c>
      <c r="H47" s="497"/>
    </row>
    <row r="48" spans="1:8" ht="17.100000000000001" customHeight="1">
      <c r="A48" s="694" t="s">
        <v>136</v>
      </c>
      <c r="B48" s="695"/>
      <c r="C48" s="356" t="s">
        <v>137</v>
      </c>
      <c r="D48" s="653" t="s">
        <v>128</v>
      </c>
      <c r="E48" s="634"/>
      <c r="F48" s="595" t="str">
        <f ca="1">IF(E48&gt;0,IFERROR(SUMIFS(INDIRECT("'Pricelist "&amp;'Solution-based'!$B$3&amp;"'!$"&amp;CHAR(70+$D$3)&amp;"$42:$"&amp;CHAR(70+$D$3)&amp;"$130"),INDIRECT("'Pricelist "&amp;'Solution-based'!$B$3&amp;"'!$O$42:$O$130"),C48,INDIRECT("'Pricelist "&amp;'Solution-based'!$B$3&amp;"'!$E$42:$E$130"),$E$4),"Pricelist not found"),"")</f>
        <v/>
      </c>
      <c r="G48" s="595" t="str">
        <f t="shared" ca="1" si="0"/>
        <v/>
      </c>
      <c r="H48" s="497"/>
    </row>
    <row r="49" spans="1:8" ht="17.100000000000001" customHeight="1">
      <c r="A49" s="696"/>
      <c r="B49" s="697"/>
      <c r="C49" s="355" t="s">
        <v>138</v>
      </c>
      <c r="D49" s="654"/>
      <c r="E49" s="632"/>
      <c r="F49" s="587" t="str">
        <f ca="1">IF(E49&gt;0,IFERROR(SUMIFS(INDIRECT("'Pricelist "&amp;'Solution-based'!$B$3&amp;"'!$"&amp;CHAR(70+$D$3)&amp;"$42:$"&amp;CHAR(70+$D$3)&amp;"$130"),INDIRECT("'Pricelist "&amp;'Solution-based'!$B$3&amp;"'!$O$42:$O$130"),C49),"Pricelist not found"),"")</f>
        <v/>
      </c>
      <c r="G49" s="587" t="str">
        <f t="shared" ca="1" si="0"/>
        <v/>
      </c>
      <c r="H49" s="497"/>
    </row>
    <row r="50" spans="1:8" ht="17.100000000000001" customHeight="1">
      <c r="A50" s="696"/>
      <c r="B50" s="697"/>
      <c r="C50" s="357" t="s">
        <v>139</v>
      </c>
      <c r="D50" s="654"/>
      <c r="E50" s="404" t="str">
        <f>IF('Compute points'!F13=0,"",'Compute points'!F13)</f>
        <v/>
      </c>
      <c r="F50" s="583" t="str">
        <f ca="1">IF(E50&lt;&gt;"",IFERROR(SUMIFS(INDIRECT("'Pricelist "&amp;'Solution-based'!$B$3&amp;"'!$"&amp;CHAR(70+$D$3)&amp;"$42:$"&amp;CHAR(70+$D$3)&amp;"$130"),INDIRECT("'Pricelist "&amp;'Solution-based'!$B$3&amp;"'!$O$42:$O$130"),C50),"Pricelist not found"),"")</f>
        <v/>
      </c>
      <c r="G50" s="583" t="str">
        <f ca="1">IFERROR(E50*F50,"")</f>
        <v/>
      </c>
      <c r="H50" s="497"/>
    </row>
    <row r="51" spans="1:8" ht="17.100000000000001" customHeight="1">
      <c r="A51" s="696"/>
      <c r="B51" s="697"/>
      <c r="C51" s="355" t="s">
        <v>140</v>
      </c>
      <c r="D51" s="654"/>
      <c r="E51" s="398"/>
      <c r="F51" s="587" t="str">
        <f ca="1">IF(E51&gt;0,IFERROR(SUMIFS(INDIRECT("'Pricelist "&amp;'Solution-based'!$B$3&amp;"'!$"&amp;CHAR(70+$D$3)&amp;"$42:$"&amp;CHAR(70+$D$3)&amp;"$130"),INDIRECT("'Pricelist "&amp;'Solution-based'!$B$3&amp;"'!$O$42:$O$130"),C51),"Pricelist not found"),"")</f>
        <v/>
      </c>
      <c r="G51" s="587" t="str">
        <f ca="1">IFERROR(E51*F51,"")</f>
        <v/>
      </c>
      <c r="H51" s="497"/>
    </row>
    <row r="52" spans="1:8" ht="17.100000000000001" customHeight="1" thickBot="1">
      <c r="A52" s="696"/>
      <c r="B52" s="697"/>
      <c r="C52" s="307" t="s">
        <v>141</v>
      </c>
      <c r="D52" s="654"/>
      <c r="E52" s="399"/>
      <c r="F52" s="583" t="str">
        <f ca="1">IF(E52&gt;0,IFERROR(SUMIFS(INDIRECT("'Pricelist "&amp;'Solution-based'!$B$3&amp;"'!$"&amp;CHAR(70+$D$3)&amp;"$42:$"&amp;CHAR(70+$D$3)&amp;"$130"),INDIRECT("'Pricelist "&amp;'Solution-based'!$B$3&amp;"'!$O$42:$O$130"),C52),"Pricelist not found"),"")</f>
        <v/>
      </c>
      <c r="G52" s="583" t="str">
        <f ca="1">IFERROR(E52*F52,"")</f>
        <v/>
      </c>
      <c r="H52" s="497"/>
    </row>
    <row r="53" spans="1:8" ht="17.100000000000001" customHeight="1">
      <c r="A53" s="694" t="s">
        <v>142</v>
      </c>
      <c r="B53" s="666" t="s">
        <v>143</v>
      </c>
      <c r="C53" s="504" t="s">
        <v>144</v>
      </c>
      <c r="D53" s="669" t="s">
        <v>14</v>
      </c>
      <c r="E53" s="405"/>
      <c r="F53" s="596" t="str">
        <f ca="1">IF(E53&gt;0,IFERROR(SUMIFS(INDIRECT("'Pricelist "&amp;'Solution-based'!$B$3&amp;"'!$"&amp;CHAR(70+$D$3)&amp;"$42:$"&amp;CHAR(70+$D$3)&amp;"$130"),INDIRECT("'Pricelist "&amp;'Solution-based'!$B$3&amp;"'!$O$42:$O$130"),C53,INDIRECT("'Pricelist "&amp;'Solution-based'!$B$3&amp;"'!$E$42:$E$130"),$E$4),"Pricelist not found"),"")</f>
        <v/>
      </c>
      <c r="G53" s="596" t="str">
        <f t="shared" ca="1" si="0"/>
        <v/>
      </c>
      <c r="H53" s="497"/>
    </row>
    <row r="54" spans="1:8" ht="17.100000000000001" customHeight="1">
      <c r="A54" s="696"/>
      <c r="B54" s="667"/>
      <c r="C54" s="505" t="s">
        <v>145</v>
      </c>
      <c r="D54" s="670"/>
      <c r="E54" s="399"/>
      <c r="F54" s="597" t="str">
        <f ca="1">IF(E54&gt;0,IFERROR(SUMIFS(INDIRECT("'Pricelist "&amp;'Solution-based'!$B$3&amp;"'!$"&amp;CHAR(70+$D$3)&amp;"$42:$"&amp;CHAR(70+$D$3)&amp;"$130"),INDIRECT("'Pricelist "&amp;'Solution-based'!$B$3&amp;"'!$O$42:$O$130"),C54),"Pricelist not found"),"")</f>
        <v/>
      </c>
      <c r="G54" s="597" t="str">
        <f t="shared" ca="1" si="0"/>
        <v/>
      </c>
      <c r="H54" s="497"/>
    </row>
    <row r="55" spans="1:8" ht="17.100000000000001" customHeight="1" thickBot="1">
      <c r="A55" s="696"/>
      <c r="B55" s="668"/>
      <c r="C55" s="506" t="s">
        <v>146</v>
      </c>
      <c r="D55" s="671"/>
      <c r="E55" s="639"/>
      <c r="F55" s="594" t="str">
        <f ca="1">IF(E55&gt;0,IFERROR(SUMIFS(INDIRECT("'Pricelist "&amp;'Solution-based'!$B$3&amp;"'!$"&amp;CHAR(70+$D$3)&amp;"$42:$"&amp;CHAR(70+$D$3)&amp;"$130"),INDIRECT("'Pricelist "&amp;'Solution-based'!$B$3&amp;"'!$O$42:$O$130"),C55),"Pricelist not found"),"")</f>
        <v/>
      </c>
      <c r="G55" s="594" t="str">
        <f t="shared" ca="1" si="0"/>
        <v/>
      </c>
      <c r="H55" s="497"/>
    </row>
    <row r="56" spans="1:8" ht="17.100000000000001" customHeight="1">
      <c r="A56" s="696"/>
      <c r="B56" s="666" t="s">
        <v>120</v>
      </c>
      <c r="C56" s="505" t="s">
        <v>147</v>
      </c>
      <c r="D56" s="654" t="s">
        <v>14</v>
      </c>
      <c r="E56" s="640"/>
      <c r="F56" s="598" t="str">
        <f ca="1">IF(E56&gt;0,IFERROR(SUMIFS(INDIRECT("'Pricelist "&amp;'Solution-based'!$B$3&amp;"'!$"&amp;CHAR(70+$D$3)&amp;"$42:$"&amp;CHAR(70+$D$3)&amp;"$130"),INDIRECT("'Pricelist "&amp;'Solution-based'!$B$3&amp;"'!$O$42:$O$130"),C56,INDIRECT("'Pricelist "&amp;'Solution-based'!$B$3&amp;"'!$E$42:$E$130"),$E$4),"Pricelist not found"),"")</f>
        <v/>
      </c>
      <c r="G56" s="598" t="str">
        <f t="shared" ca="1" si="0"/>
        <v/>
      </c>
      <c r="H56" s="497"/>
    </row>
    <row r="57" spans="1:8" ht="17.100000000000001" customHeight="1">
      <c r="A57" s="696"/>
      <c r="B57" s="667"/>
      <c r="C57" s="511" t="s">
        <v>148</v>
      </c>
      <c r="D57" s="654"/>
      <c r="E57" s="641"/>
      <c r="F57" s="587" t="str">
        <f ca="1">IF(E57&gt;0,IFERROR(SUMIFS(INDIRECT("'Pricelist "&amp;'Solution-based'!$B$3&amp;"'!$"&amp;CHAR(70+$D$3)&amp;"$42:$"&amp;CHAR(70+$D$3)&amp;"$130"),INDIRECT("'Pricelist "&amp;'Solution-based'!$B$3&amp;"'!$O$42:$O$130"),C57),"Pricelist not found"),"")</f>
        <v/>
      </c>
      <c r="G57" s="587" t="str">
        <f ca="1">IFERROR(E57*F57,"")</f>
        <v/>
      </c>
      <c r="H57" s="497"/>
    </row>
    <row r="58" spans="1:8" ht="17.100000000000001" customHeight="1" thickBot="1">
      <c r="A58" s="712"/>
      <c r="B58" s="668"/>
      <c r="C58" s="512" t="s">
        <v>149</v>
      </c>
      <c r="D58" s="655"/>
      <c r="E58" s="642"/>
      <c r="F58" s="599" t="str">
        <f ca="1">IF(E58&gt;0,IFERROR(SUMIFS(INDIRECT("'Pricelist "&amp;'Solution-based'!$B$3&amp;"'!$"&amp;CHAR(70+$D$3)&amp;"$42:$"&amp;CHAR(70+$D$3)&amp;"$130"),INDIRECT("'Pricelist "&amp;'Solution-based'!$B$3&amp;"'!$O$42:$O$130"),C58),"Pricelist not found"),"")</f>
        <v/>
      </c>
      <c r="G58" s="599" t="str">
        <f t="shared" ca="1" si="0"/>
        <v/>
      </c>
      <c r="H58" s="497"/>
    </row>
    <row r="59" spans="1:8" ht="19.5" customHeight="1" thickBot="1">
      <c r="A59" s="162" t="s">
        <v>150</v>
      </c>
      <c r="B59" s="161"/>
      <c r="C59" s="161"/>
      <c r="D59" s="408"/>
      <c r="E59" s="633"/>
      <c r="F59" s="600"/>
      <c r="G59" s="613"/>
      <c r="H59" s="497"/>
    </row>
    <row r="60" spans="1:8" ht="19.5" customHeight="1" thickBot="1">
      <c r="A60" s="692" t="s">
        <v>52</v>
      </c>
      <c r="B60" s="510" t="s">
        <v>53</v>
      </c>
      <c r="C60" s="509" t="s">
        <v>54</v>
      </c>
      <c r="D60" s="469" t="s">
        <v>14</v>
      </c>
      <c r="E60" s="399"/>
      <c r="F60" s="601" t="str">
        <f ca="1">IF(E60&gt;0,IFERROR(SUMIFS(INDIRECT("'Pricelist "&amp;'Solution-based'!$B$3&amp;"'!$"&amp;CHAR(70+$D$3)&amp;"$3:$"&amp;CHAR(70+$D$3)&amp;"$130"),INDIRECT("'Pricelist "&amp;'Solution-based'!$B$3&amp;"'!$O$3:$O$130"),C60),"Pricelist not found"),"")</f>
        <v/>
      </c>
      <c r="G60" s="580" t="str">
        <f t="shared" ref="G60:G65" ca="1" si="3">IFERROR(E60*F60,"")</f>
        <v/>
      </c>
      <c r="H60" s="497"/>
    </row>
    <row r="61" spans="1:8" ht="19.5" customHeight="1">
      <c r="A61" s="692"/>
      <c r="B61" s="698" t="s">
        <v>55</v>
      </c>
      <c r="C61" s="304" t="s">
        <v>56</v>
      </c>
      <c r="D61" s="703" t="s">
        <v>14</v>
      </c>
      <c r="E61" s="635"/>
      <c r="F61" s="602" t="str">
        <f ca="1">IF(E61&gt;0,IFERROR(SUMIFS(INDIRECT("'Pricelist "&amp;'Solution-based'!$B$3&amp;"'!$"&amp;CHAR(70+$D$3)&amp;"$3:$"&amp;CHAR(70+$D$3)&amp;"$130"),INDIRECT("'Pricelist "&amp;'Solution-based'!$B$3&amp;"'!$O$3:$O$130"),C61),"Pricelist not found"),"")</f>
        <v/>
      </c>
      <c r="G61" s="569" t="str">
        <f t="shared" ca="1" si="3"/>
        <v/>
      </c>
      <c r="H61" s="497"/>
    </row>
    <row r="62" spans="1:8" ht="19.5" customHeight="1">
      <c r="A62" s="692"/>
      <c r="B62" s="699"/>
      <c r="C62" s="166" t="s">
        <v>57</v>
      </c>
      <c r="D62" s="704"/>
      <c r="E62" s="631"/>
      <c r="F62" s="603" t="str">
        <f ca="1">IF(E62&gt;0,IFERROR(SUMIFS(INDIRECT("'Pricelist "&amp;'Solution-based'!$B$3&amp;"'!$"&amp;CHAR(70+$D$3)&amp;"$3:$"&amp;CHAR(70+$D$3)&amp;"$130"),INDIRECT("'Pricelist "&amp;'Solution-based'!$B$3&amp;"'!$O$3:$O$130"),C62),"Pricelist not found"),"")</f>
        <v/>
      </c>
      <c r="G62" s="570" t="str">
        <f t="shared" ca="1" si="3"/>
        <v/>
      </c>
      <c r="H62" s="497"/>
    </row>
    <row r="63" spans="1:8" ht="19.5" customHeight="1">
      <c r="A63" s="692"/>
      <c r="B63" s="699"/>
      <c r="C63" s="117" t="s">
        <v>58</v>
      </c>
      <c r="D63" s="704"/>
      <c r="E63" s="632"/>
      <c r="F63" s="604" t="str">
        <f ca="1">IF(E63&gt;0,IFERROR(SUMIFS(INDIRECT("'Pricelist "&amp;'Solution-based'!$B$3&amp;"'!$"&amp;CHAR(70+$D$3)&amp;"$3:$"&amp;CHAR(70+$D$3)&amp;"$130"),INDIRECT("'Pricelist "&amp;'Solution-based'!$B$3&amp;"'!$O$3:$O$130"),C63),"Pricelist not found"),"")</f>
        <v/>
      </c>
      <c r="G63" s="562" t="str">
        <f t="shared" ca="1" si="3"/>
        <v/>
      </c>
      <c r="H63" s="497"/>
    </row>
    <row r="64" spans="1:8" ht="19.5" customHeight="1">
      <c r="A64" s="692"/>
      <c r="B64" s="699"/>
      <c r="C64" s="166" t="s">
        <v>59</v>
      </c>
      <c r="D64" s="704"/>
      <c r="E64" s="399"/>
      <c r="F64" s="603" t="str">
        <f ca="1">IF(E64&gt;0,IFERROR(SUMIFS(INDIRECT("'Pricelist "&amp;'Solution-based'!$B$3&amp;"'!$"&amp;CHAR(70+$D$3)&amp;"$3:$"&amp;CHAR(70+$D$3)&amp;"$130"),INDIRECT("'Pricelist "&amp;'Solution-based'!$B$3&amp;"'!$O$3:$O$130"),C64),"Pricelist not found"),"")</f>
        <v/>
      </c>
      <c r="G64" s="570" t="str">
        <f t="shared" ca="1" si="3"/>
        <v/>
      </c>
      <c r="H64" s="497"/>
    </row>
    <row r="65" spans="1:8" ht="19.5" customHeight="1" thickBot="1">
      <c r="A65" s="693"/>
      <c r="B65" s="700"/>
      <c r="C65" s="361" t="s">
        <v>60</v>
      </c>
      <c r="D65" s="705"/>
      <c r="E65" s="403"/>
      <c r="F65" s="605" t="str">
        <f ca="1">IF(E65&gt;0,IFERROR(SUMIFS(INDIRECT("'Pricelist "&amp;'Solution-based'!$B$3&amp;"'!$"&amp;CHAR(70+$D$3)&amp;"$3:$"&amp;CHAR(70+$D$3)&amp;"$130"),INDIRECT("'Pricelist "&amp;'Solution-based'!$B$3&amp;"'!$O$3:$O$130"),C65),"Pricelist not found"),"")</f>
        <v/>
      </c>
      <c r="G65" s="581" t="str">
        <f t="shared" ca="1" si="3"/>
        <v/>
      </c>
      <c r="H65" s="497"/>
    </row>
    <row r="66" spans="1:8" ht="17.100000000000001" customHeight="1">
      <c r="A66" s="692" t="s">
        <v>61</v>
      </c>
      <c r="B66" s="666" t="s">
        <v>62</v>
      </c>
      <c r="C66" s="507" t="s">
        <v>63</v>
      </c>
      <c r="D66" s="690" t="s">
        <v>14</v>
      </c>
      <c r="E66" s="406"/>
      <c r="F66" s="606" t="str">
        <f ca="1">IF(AND(E66&gt;0,$E$4="G2"),"Not available for G2",IF(E66&gt;0,IFERROR(SUMIFS(INDIRECT("'Pricelist "&amp;'Solution-based'!$B$3&amp;"'!$"&amp;CHAR(70+$D$3)&amp;"$42:$"&amp;CHAR(70+$D$3)&amp;"$130"),INDIRECT("'Pricelist "&amp;'Solution-based'!$B$3&amp;"'!$O$42:$O$130"),C66),"Pricelist not found"),""))</f>
        <v/>
      </c>
      <c r="G66" s="614" t="str">
        <f t="shared" ref="G66:G67" ca="1" si="4">IFERROR(E66*F66,"")</f>
        <v/>
      </c>
      <c r="H66" s="497"/>
    </row>
    <row r="67" spans="1:8" ht="17.100000000000001" customHeight="1" thickBot="1">
      <c r="A67" s="693"/>
      <c r="B67" s="668"/>
      <c r="C67" s="508" t="s">
        <v>64</v>
      </c>
      <c r="D67" s="691"/>
      <c r="E67" s="400"/>
      <c r="F67" s="607" t="str">
        <f ca="1">IF(AND(E67&gt;0,$E$4="G2"),"Not available for G2",IF(E67&gt;0,IFERROR(SUMIFS(INDIRECT("'Pricelist "&amp;'Solution-based'!$B$3&amp;"'!$"&amp;CHAR(70+$D$3)&amp;"$42:$"&amp;CHAR(70+$D$3)&amp;"$130"),INDIRECT("'Pricelist "&amp;'Solution-based'!$B$3&amp;"'!$O$42:$O$130"),C67),"Pricelist not found"),""))</f>
        <v/>
      </c>
      <c r="G67" s="594" t="str">
        <f t="shared" ca="1" si="4"/>
        <v/>
      </c>
      <c r="H67" s="497"/>
    </row>
    <row r="68" spans="1:8" ht="17.100000000000001" customHeight="1">
      <c r="A68" s="715" t="s">
        <v>151</v>
      </c>
      <c r="B68" s="708" t="s">
        <v>66</v>
      </c>
      <c r="C68" s="513" t="s">
        <v>67</v>
      </c>
      <c r="D68" s="710" t="s">
        <v>14</v>
      </c>
      <c r="E68" s="406"/>
      <c r="F68" s="558" t="str">
        <f ca="1">IF(E68&gt;0,IFERROR(SUMIFS(INDIRECT("'Pricelist "&amp;'Solution-based'!$B$3&amp;"'!$"&amp;CHAR(70+$D$3)&amp;"$42:$"&amp;CHAR(70+$D$3)&amp;"$130"),INDIRECT("'Pricelist "&amp;'Solution-based'!$B$3&amp;"'!$O$42:$O$130"),C68),"Pricelist not found"),"")</f>
        <v/>
      </c>
      <c r="G68" s="614" t="str">
        <f t="shared" ref="G68:G71" ca="1" si="5">IFERROR(E68*F68,"")</f>
        <v/>
      </c>
      <c r="H68" s="503"/>
    </row>
    <row r="69" spans="1:8" ht="17.100000000000001" customHeight="1" thickBot="1">
      <c r="A69" s="716"/>
      <c r="B69" s="709"/>
      <c r="C69" s="514" t="s">
        <v>68</v>
      </c>
      <c r="D69" s="711"/>
      <c r="E69" s="630"/>
      <c r="F69" s="559" t="str">
        <f ca="1">IF(E69&gt;0,IFERROR(SUMIFS(INDIRECT("'Pricelist "&amp;'Solution-based'!$B$3&amp;"'!$"&amp;CHAR(70+$D$3)&amp;"$42:$"&amp;CHAR(70+$D$3)&amp;"$130"),INDIRECT("'Pricelist "&amp;'Solution-based'!$B$3&amp;"'!$O$42:$O$130"),C69,INDIRECT("'Pricelist "&amp;'Solution-based'!$B$3&amp;"'!$E$42:$E$130"),$E$4),"Pricelist not found"),"")</f>
        <v/>
      </c>
      <c r="G69" s="594" t="str">
        <f ca="1">IFERROR(E69*F69,"")</f>
        <v/>
      </c>
      <c r="H69" s="503"/>
    </row>
    <row r="70" spans="1:8" ht="17.100000000000001" customHeight="1">
      <c r="A70" s="716"/>
      <c r="B70" s="666" t="s">
        <v>120</v>
      </c>
      <c r="C70" s="513" t="s">
        <v>70</v>
      </c>
      <c r="D70" s="713" t="s">
        <v>14</v>
      </c>
      <c r="E70" s="637"/>
      <c r="F70" s="558" t="str">
        <f ca="1">IF(E70&gt;0,IFERROR(SUMIFS(INDIRECT("'Pricelist "&amp;'Solution-based'!$B$3&amp;"'!$"&amp;CHAR(70+$D$3)&amp;"$42:$"&amp;CHAR(70+$D$3)&amp;"$130"),INDIRECT("'Pricelist "&amp;'Solution-based'!$B$3&amp;"'!$O$42:$O$130"),C70,INDIRECT("'Pricelist "&amp;'Solution-based'!$B$3&amp;"'!$E$42:$E$130"),$E$4),"Pricelist not found"),"")</f>
        <v/>
      </c>
      <c r="G70" s="614" t="str">
        <f t="shared" ca="1" si="5"/>
        <v/>
      </c>
      <c r="H70" s="503"/>
    </row>
    <row r="71" spans="1:8" ht="17.100000000000001" customHeight="1" thickBot="1">
      <c r="A71" s="716"/>
      <c r="B71" s="668"/>
      <c r="C71" s="514" t="s">
        <v>152</v>
      </c>
      <c r="D71" s="714"/>
      <c r="E71" s="630"/>
      <c r="F71" s="594" t="str">
        <f ca="1">IF(E71&gt;0,IFERROR(SUMIFS(INDIRECT("'Pricelist "&amp;'Solution-based'!$B$3&amp;"'!$"&amp;CHAR(70+$D$3)&amp;"$42:$"&amp;CHAR(70+$D$3)&amp;"$130"),INDIRECT("'Pricelist "&amp;'Solution-based'!$B$3&amp;"'!$O$42:$O$130"),C71),"Pricelist not found"),"")</f>
        <v/>
      </c>
      <c r="G71" s="594" t="str">
        <f t="shared" ca="1" si="5"/>
        <v/>
      </c>
      <c r="H71" s="503"/>
    </row>
    <row r="72" spans="1:8" ht="23.1" customHeight="1" thickBot="1">
      <c r="A72" s="706" t="s">
        <v>71</v>
      </c>
      <c r="B72" s="707"/>
      <c r="C72" s="370" t="s">
        <v>72</v>
      </c>
      <c r="D72" s="354" t="s">
        <v>14</v>
      </c>
      <c r="E72" s="638"/>
      <c r="F72" s="608" t="str">
        <f ca="1">IF(E72&gt;0,IFERROR(SUMIFS(INDIRECT("'Pricelist "&amp;'Solution-based'!$B$3&amp;"'!$"&amp;CHAR(70+$D$3)&amp;"$42:$"&amp;CHAR(70+$D$3)&amp;"$130"),INDIRECT("'Pricelist "&amp;'Solution-based'!$B$3&amp;"'!$O$42:$O$130"),C72),"Pricelist not found"),"")</f>
        <v/>
      </c>
      <c r="G72" s="608" t="str">
        <f ca="1">IFERROR(E72*F72,"")</f>
        <v/>
      </c>
      <c r="H72" s="503"/>
    </row>
    <row r="73" spans="1:8" ht="24" customHeight="1">
      <c r="A73" s="17"/>
      <c r="B73" s="17"/>
      <c r="C73" s="15"/>
      <c r="D73" s="15"/>
      <c r="E73" s="103" t="s">
        <v>74</v>
      </c>
      <c r="F73" s="564"/>
      <c r="G73" s="618">
        <f ca="1">SUM(G6:G72)</f>
        <v>0</v>
      </c>
      <c r="H73" s="497"/>
    </row>
    <row r="74" spans="1:8" ht="24" customHeight="1">
      <c r="A74" s="17"/>
      <c r="B74" s="17"/>
      <c r="C74" s="15"/>
      <c r="D74" s="15"/>
      <c r="E74" s="103" t="s">
        <v>73</v>
      </c>
      <c r="F74" s="564"/>
      <c r="G74" s="618">
        <f ca="1">'Solution-based'!G50</f>
        <v>0</v>
      </c>
      <c r="H74" s="497"/>
    </row>
    <row r="75" spans="1:8" ht="24" customHeight="1">
      <c r="A75" s="17"/>
      <c r="B75" s="17"/>
      <c r="C75" s="15"/>
      <c r="D75" s="15"/>
      <c r="E75" s="103" t="s">
        <v>75</v>
      </c>
      <c r="F75" s="564"/>
      <c r="G75" s="618">
        <f ca="1">G73+G74</f>
        <v>0</v>
      </c>
      <c r="H75" s="497"/>
    </row>
    <row r="76" spans="1:8" ht="24" customHeight="1">
      <c r="A76" s="5"/>
      <c r="B76" s="5"/>
      <c r="C76" s="5"/>
      <c r="D76" s="5"/>
      <c r="E76" s="25" t="s">
        <v>76</v>
      </c>
      <c r="F76" s="565"/>
      <c r="G76" s="621">
        <f ca="1">IF(G75&gt;E3,G75,E3)</f>
        <v>250</v>
      </c>
      <c r="H76" s="497"/>
    </row>
    <row r="77" spans="1:8" ht="24" customHeight="1">
      <c r="A77" s="5"/>
      <c r="B77" s="5"/>
      <c r="C77" s="5"/>
      <c r="D77" s="5"/>
      <c r="E77" s="25" t="s">
        <v>77</v>
      </c>
      <c r="F77" s="565"/>
      <c r="G77" s="621">
        <f ca="1">G76*12</f>
        <v>3000</v>
      </c>
      <c r="H77" s="497"/>
    </row>
    <row r="78" spans="1:8" ht="23.45">
      <c r="A78" s="154" t="s">
        <v>78</v>
      </c>
      <c r="B78" s="130"/>
      <c r="C78" s="130"/>
      <c r="D78" s="130"/>
      <c r="E78" s="130"/>
      <c r="F78" s="566"/>
      <c r="G78" s="566"/>
      <c r="H78" s="497"/>
    </row>
    <row r="79" spans="1:8">
      <c r="A79" s="130"/>
      <c r="B79" s="130"/>
      <c r="C79" s="130"/>
      <c r="D79" s="130"/>
      <c r="E79" s="130"/>
      <c r="F79" s="566"/>
      <c r="G79" s="566"/>
    </row>
    <row r="80" spans="1:8">
      <c r="A80" s="130"/>
      <c r="B80" s="130"/>
      <c r="C80" s="130"/>
      <c r="D80" s="130"/>
      <c r="E80" s="130"/>
      <c r="F80" s="566"/>
      <c r="G80" s="566"/>
    </row>
    <row r="81" spans="1:7">
      <c r="A81" s="130"/>
      <c r="B81" s="130"/>
      <c r="C81" s="130"/>
      <c r="D81" s="130"/>
      <c r="E81" s="130"/>
      <c r="F81" s="566"/>
      <c r="G81" s="566"/>
    </row>
    <row r="82" spans="1:7">
      <c r="A82" s="130"/>
      <c r="B82" s="130"/>
      <c r="C82" s="130"/>
      <c r="D82" s="130"/>
      <c r="E82" s="130"/>
      <c r="F82" s="566"/>
      <c r="G82" s="566"/>
    </row>
    <row r="83" spans="1:7">
      <c r="A83" s="130"/>
      <c r="B83" s="130"/>
      <c r="C83" s="130"/>
      <c r="D83" s="130"/>
      <c r="E83" s="130"/>
      <c r="F83" s="566"/>
      <c r="G83" s="566"/>
    </row>
    <row r="84" spans="1:7">
      <c r="A84" s="130"/>
      <c r="B84" s="130"/>
      <c r="C84" s="130"/>
      <c r="D84" s="130"/>
      <c r="E84" s="130"/>
      <c r="F84" s="566"/>
      <c r="G84" s="566"/>
    </row>
    <row r="85" spans="1:7">
      <c r="A85" s="130"/>
      <c r="B85" s="130"/>
      <c r="C85" s="130"/>
      <c r="D85" s="130"/>
      <c r="E85" s="130"/>
      <c r="F85" s="566"/>
      <c r="G85" s="566"/>
    </row>
    <row r="86" spans="1:7">
      <c r="A86" s="130"/>
      <c r="B86" s="130"/>
      <c r="C86" s="130"/>
      <c r="D86" s="130"/>
      <c r="E86" s="130"/>
      <c r="F86" s="566"/>
      <c r="G86" s="566"/>
    </row>
    <row r="87" spans="1:7">
      <c r="A87" s="130"/>
      <c r="B87" s="130"/>
      <c r="C87" s="130"/>
      <c r="D87" s="130"/>
      <c r="E87" s="130"/>
      <c r="F87" s="566"/>
      <c r="G87" s="566"/>
    </row>
    <row r="88" spans="1:7">
      <c r="A88" s="130"/>
      <c r="B88" s="130"/>
      <c r="C88" s="130"/>
      <c r="D88" s="130"/>
      <c r="E88" s="130"/>
      <c r="F88" s="566"/>
      <c r="G88" s="566"/>
    </row>
    <row r="89" spans="1:7">
      <c r="A89" s="130"/>
      <c r="B89" s="130"/>
      <c r="C89" s="130"/>
      <c r="D89" s="130"/>
      <c r="E89" s="130"/>
      <c r="F89" s="566"/>
      <c r="G89" s="566"/>
    </row>
    <row r="90" spans="1:7">
      <c r="A90" s="130"/>
      <c r="B90" s="130"/>
      <c r="C90" s="130"/>
      <c r="D90" s="130"/>
      <c r="E90" s="130"/>
      <c r="F90" s="566"/>
      <c r="G90" s="566"/>
    </row>
    <row r="91" spans="1:7">
      <c r="A91" s="130"/>
      <c r="B91" s="130"/>
      <c r="C91" s="130"/>
      <c r="D91" s="130"/>
      <c r="E91" s="130"/>
      <c r="F91" s="566"/>
      <c r="G91" s="566"/>
    </row>
    <row r="92" spans="1:7">
      <c r="A92" s="130"/>
      <c r="B92" s="130"/>
      <c r="C92" s="130"/>
      <c r="D92" s="130"/>
      <c r="E92" s="130"/>
      <c r="F92" s="566"/>
      <c r="G92" s="566"/>
    </row>
    <row r="93" spans="1:7">
      <c r="A93" s="130"/>
      <c r="B93" s="130"/>
      <c r="C93" s="130"/>
      <c r="D93" s="130"/>
      <c r="E93" s="130"/>
      <c r="F93" s="566"/>
      <c r="G93" s="566"/>
    </row>
    <row r="94" spans="1:7">
      <c r="A94" s="130"/>
      <c r="B94" s="130"/>
      <c r="C94" s="130"/>
      <c r="D94" s="130"/>
      <c r="E94" s="130"/>
      <c r="F94" s="566"/>
      <c r="G94" s="566"/>
    </row>
    <row r="95" spans="1:7">
      <c r="A95" s="130"/>
      <c r="B95" s="130"/>
      <c r="C95" s="130"/>
      <c r="D95" s="130"/>
      <c r="E95" s="130"/>
      <c r="F95" s="566"/>
      <c r="G95" s="566"/>
    </row>
    <row r="96" spans="1:7">
      <c r="A96" s="130"/>
      <c r="B96" s="130"/>
      <c r="C96" s="130"/>
      <c r="D96" s="130"/>
      <c r="E96" s="130"/>
      <c r="F96" s="566"/>
      <c r="G96" s="566"/>
    </row>
    <row r="97" spans="1:7">
      <c r="A97" s="130"/>
      <c r="B97" s="130"/>
      <c r="C97" s="130"/>
      <c r="D97" s="130"/>
      <c r="E97" s="130"/>
      <c r="F97" s="566"/>
      <c r="G97" s="566"/>
    </row>
    <row r="98" spans="1:7">
      <c r="A98" s="130"/>
      <c r="B98" s="130"/>
      <c r="C98" s="130"/>
      <c r="D98" s="130"/>
      <c r="E98" s="130"/>
      <c r="F98" s="566"/>
      <c r="G98" s="566"/>
    </row>
    <row r="99" spans="1:7">
      <c r="A99" s="130"/>
      <c r="B99" s="130"/>
      <c r="C99" s="130"/>
      <c r="D99" s="130"/>
      <c r="E99" s="130"/>
      <c r="F99" s="566"/>
      <c r="G99" s="566"/>
    </row>
    <row r="100" spans="1:7">
      <c r="A100" s="130"/>
      <c r="B100" s="130"/>
      <c r="C100" s="130"/>
      <c r="D100" s="130"/>
      <c r="E100" s="130"/>
      <c r="F100" s="451"/>
      <c r="G100" s="451"/>
    </row>
    <row r="101" spans="1:7">
      <c r="A101" s="130"/>
      <c r="B101" s="130"/>
      <c r="C101" s="130"/>
      <c r="D101" s="130"/>
      <c r="E101" s="130"/>
      <c r="F101" s="451"/>
      <c r="G101" s="451"/>
    </row>
    <row r="102" spans="1:7">
      <c r="A102" s="130"/>
      <c r="B102" s="130"/>
      <c r="C102" s="130"/>
      <c r="D102" s="130"/>
      <c r="E102" s="130"/>
      <c r="F102" s="130"/>
      <c r="G102" s="130"/>
    </row>
    <row r="103" spans="1:7"/>
  </sheetData>
  <sheetProtection algorithmName="SHA-512" hashValue="PeJu+biDpqp6HjS7/YmKIL0fAxqIywxRUe8K6lAQ9uIxsun1sBJcs6q1v06JjLvLCoDWDGBjkfNpHxnOWxhKbw==" saltValue="AuW1YGkeI737FNkH7Z3NXw==" spinCount="100000" sheet="1" objects="1" scenarios="1"/>
  <mergeCells count="43">
    <mergeCell ref="D8:D13"/>
    <mergeCell ref="D16:D18"/>
    <mergeCell ref="C4:D4"/>
    <mergeCell ref="D61:D65"/>
    <mergeCell ref="A72:B72"/>
    <mergeCell ref="B68:B69"/>
    <mergeCell ref="D68:D69"/>
    <mergeCell ref="A53:A58"/>
    <mergeCell ref="B53:B55"/>
    <mergeCell ref="B70:B71"/>
    <mergeCell ref="D70:D71"/>
    <mergeCell ref="D53:D55"/>
    <mergeCell ref="B56:B58"/>
    <mergeCell ref="D56:D58"/>
    <mergeCell ref="A60:A65"/>
    <mergeCell ref="A68:A71"/>
    <mergeCell ref="A66:A67"/>
    <mergeCell ref="A48:B52"/>
    <mergeCell ref="D48:D52"/>
    <mergeCell ref="B61:B65"/>
    <mergeCell ref="B66:B67"/>
    <mergeCell ref="D66:D67"/>
    <mergeCell ref="A22:A47"/>
    <mergeCell ref="D36:D39"/>
    <mergeCell ref="B36:B39"/>
    <mergeCell ref="B44:B47"/>
    <mergeCell ref="D44:D47"/>
    <mergeCell ref="A6:B15"/>
    <mergeCell ref="A16:B18"/>
    <mergeCell ref="E1:G1"/>
    <mergeCell ref="D41:D43"/>
    <mergeCell ref="B41:B43"/>
    <mergeCell ref="A5:C5"/>
    <mergeCell ref="F4:G4"/>
    <mergeCell ref="F3:G3"/>
    <mergeCell ref="B22:B35"/>
    <mergeCell ref="D22:D35"/>
    <mergeCell ref="D6:D7"/>
    <mergeCell ref="A21:B21"/>
    <mergeCell ref="E2:G2"/>
    <mergeCell ref="A2:C2"/>
    <mergeCell ref="A19:B19"/>
    <mergeCell ref="A20:B20"/>
  </mergeCells>
  <conditionalFormatting sqref="F76:G77">
    <cfRule type="expression" dxfId="2" priority="1">
      <formula>AND(#REF!&lt;#REF!,(SUM(#REF!)*#REF!&gt;0))</formula>
    </cfRule>
  </conditionalFormatting>
  <dataValidations xWindow="544" yWindow="645" count="11">
    <dataValidation allowBlank="1" showInputMessage="1" showErrorMessage="1" promptTitle="Azure/Google Cloud storage" prompt="Cloud Azure/Google storage managed by Acronis at selected locations" sqref="C35 C37" xr:uid="{70DA97CC-034A-4056-BAD5-F8AB6A9A5E03}"/>
    <dataValidation allowBlank="1" showErrorMessage="1" promptTitle="Service Provider Hosted Storage" prompt="Storage hosted on Service Provider Datacenter or Public Cloud managed by Service Provider (Azure, AWS, etc.)" sqref="D60 D70 D68 C68:C69" xr:uid="{00000000-0002-0000-0000-000002000000}"/>
    <dataValidation allowBlank="1" showErrorMessage="1" prompt="At Acronis Datacenter and/or Azure/Google storage managed by Acronis " sqref="D60 D70 C68:D68" xr:uid="{00000000-0002-0000-0000-000003000000}"/>
    <dataValidation allowBlank="1" showErrorMessage="1" promptTitle="Service Provider Hosted Storage" sqref="C72" xr:uid="{00000000-0002-0000-0000-000005000000}"/>
    <dataValidation allowBlank="1" showInputMessage="1" showErrorMessage="1" promptTitle="&gt;&gt;&gt;&gt;&gt;Public IPs&lt;&lt;&lt;&lt;&lt;" prompt="Public IPs are optional. Only required for public facing services, i.e. Mail Server or Web Portal. 1 IP is assigned to 1 server and is reserved for that server." sqref="C51:C52" xr:uid="{FB0A39C8-0FE7-41D0-A842-D46D63775374}"/>
    <dataValidation allowBlank="1" showInputMessage="1" showErrorMessage="1" promptTitle="&gt;&gt;&gt;&gt;&gt;Compute Points&lt;&lt;&lt;&lt;&lt;" sqref="C50" xr:uid="{99385D52-770F-4E61-96C8-347EBE079D45}"/>
    <dataValidation allowBlank="1" showInputMessage="1" showErrorMessage="1" promptTitle="&gt;&gt;&gt;&gt;&gt;Customer Storage&lt;&lt;&lt;&lt;&lt;" prompt="Storage hosted on Customer Datacenter and that will be used for backups: Removable drives, Network Shares, Internal disks, etc." sqref="C39" xr:uid="{7845AC82-CD22-49B4-9939-E393F2E94D46}"/>
    <dataValidation allowBlank="1" showInputMessage="1" showErrorMessage="1" promptTitle="Service Provider Hosted Storage" prompt="Storage hosted on Service Provider Datacenter or Public Cloud managed by Service Provider (Azure, AWS, etc.)" sqref="C71 C38" xr:uid="{00000000-0002-0000-0000-00000A000000}"/>
    <dataValidation allowBlank="1" showInputMessage="1" showErrorMessage="1" promptTitle="&gt;&gt;&gt;&gt;&gt;Acronis Hosted Storage&lt;&lt;&lt;&lt;&lt;" prompt="At Acronis Datacenter" sqref="C70" xr:uid="{00000000-0002-0000-0000-000004000000}"/>
    <dataValidation allowBlank="1" showErrorMessage="1" sqref="E71:E72" xr:uid="{00000000-0002-0000-0000-000006000000}"/>
    <dataValidation type="list" allowBlank="1" showInputMessage="1" showErrorMessage="1" sqref="E3" xr:uid="{211DBAFC-964B-4C1D-BBC6-1EAA8888CBE1}">
      <formula1>CommitmentList</formula1>
    </dataValidation>
  </dataValidations>
  <hyperlinks>
    <hyperlink ref="C50" location="'Compute Points'!A1" display="Monthly Compute Point Consumption" xr:uid="{B91F7CA5-E8CA-464E-8815-D5186655E380}"/>
    <hyperlink ref="B41:B43" location="'Cloud DCs'!F2" display="Geo-replication" xr:uid="{AEDD3413-4365-4FE9-9EED-F62108F935FC}"/>
    <hyperlink ref="A78" r:id="rId1" xr:uid="{921CF938-439E-4531-9F76-F75AA3780A2C}"/>
  </hyperlinks>
  <pageMargins left="0.7" right="0.7" top="0.75" bottom="0.75" header="0.3" footer="0.3"/>
  <pageSetup paperSize="9" orientation="portrait" r:id="rId2"/>
  <drawing r:id="rId3"/>
  <legacyDrawing r:id="rId4"/>
  <extLst>
    <ext xmlns:x14="http://schemas.microsoft.com/office/spreadsheetml/2009/9/main" uri="{CCE6A557-97BC-4b89-ADB6-D9C93CAAB3DF}">
      <x14:dataValidations xmlns:xm="http://schemas.microsoft.com/office/excel/2006/main" xWindow="544" yWindow="645" count="1">
        <x14:dataValidation type="list" allowBlank="1" showInputMessage="1" showErrorMessage="1" xr:uid="{1CB0A953-F9DF-41D7-9368-CBD125DB75C0}">
          <x14:formula1>
            <xm:f>'Cloud DCs'!$I$2:$I$3</xm:f>
          </x14:formula1>
          <xm:sqref>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5D174-DF42-405A-82E0-8453AB56E93F}">
  <dimension ref="A1:T136"/>
  <sheetViews>
    <sheetView topLeftCell="A23" zoomScale="70" zoomScaleNormal="70" workbookViewId="0">
      <selection activeCell="I102" sqref="I102"/>
    </sheetView>
  </sheetViews>
  <sheetFormatPr defaultColWidth="8.85546875" defaultRowHeight="14.45"/>
  <cols>
    <col min="1" max="1" width="20.140625" customWidth="1"/>
    <col min="2" max="2" width="20.5703125" customWidth="1"/>
    <col min="3" max="3" width="23.85546875" customWidth="1"/>
    <col min="4" max="4" width="129.42578125" bestFit="1" customWidth="1"/>
    <col min="5" max="5" width="18.28515625" customWidth="1"/>
    <col min="6" max="6" width="12.85546875" customWidth="1"/>
    <col min="7" max="12" width="18.42578125" customWidth="1"/>
    <col min="13" max="13" width="14.5703125" bestFit="1" customWidth="1"/>
    <col min="14" max="14" width="16.7109375" customWidth="1"/>
    <col min="15" max="15" width="127.85546875" style="3" hidden="1" customWidth="1"/>
    <col min="17" max="17" width="12.85546875" bestFit="1" customWidth="1"/>
  </cols>
  <sheetData>
    <row r="1" spans="1:15" ht="15" customHeight="1" thickBot="1">
      <c r="A1" s="852" t="s">
        <v>153</v>
      </c>
      <c r="B1" s="852"/>
      <c r="C1" s="852"/>
      <c r="D1" s="850" t="s">
        <v>154</v>
      </c>
      <c r="E1" s="857" t="s">
        <v>155</v>
      </c>
      <c r="F1" s="834" t="s">
        <v>156</v>
      </c>
      <c r="G1" s="175" t="s">
        <v>157</v>
      </c>
      <c r="H1" s="175" t="s">
        <v>158</v>
      </c>
      <c r="I1" s="175" t="s">
        <v>159</v>
      </c>
      <c r="J1" s="175" t="s">
        <v>160</v>
      </c>
      <c r="K1" s="175" t="s">
        <v>161</v>
      </c>
      <c r="L1" s="175" t="s">
        <v>162</v>
      </c>
      <c r="M1" s="175" t="s">
        <v>163</v>
      </c>
      <c r="N1" s="338" t="s">
        <v>164</v>
      </c>
      <c r="O1" s="463" t="s">
        <v>165</v>
      </c>
    </row>
    <row r="2" spans="1:15" ht="15" customHeight="1" thickBot="1">
      <c r="A2" s="853"/>
      <c r="B2" s="853"/>
      <c r="C2" s="853"/>
      <c r="D2" s="851"/>
      <c r="E2" s="858"/>
      <c r="F2" s="835"/>
      <c r="G2" s="176">
        <v>250</v>
      </c>
      <c r="H2" s="176">
        <v>500</v>
      </c>
      <c r="I2" s="176">
        <v>1000</v>
      </c>
      <c r="J2" s="176">
        <v>2000</v>
      </c>
      <c r="K2" s="176">
        <v>4000</v>
      </c>
      <c r="L2" s="176">
        <v>7000</v>
      </c>
      <c r="M2" s="176">
        <v>10000</v>
      </c>
      <c r="N2" s="347">
        <v>15000</v>
      </c>
      <c r="O2" s="2"/>
    </row>
    <row r="3" spans="1:15" ht="15" customHeight="1">
      <c r="A3" s="854" t="s">
        <v>166</v>
      </c>
      <c r="B3" s="836" t="s">
        <v>12</v>
      </c>
      <c r="C3" s="837"/>
      <c r="D3" s="127" t="s">
        <v>167</v>
      </c>
      <c r="E3" s="72" t="s">
        <v>168</v>
      </c>
      <c r="F3" s="309" t="s">
        <v>169</v>
      </c>
      <c r="G3" s="177">
        <v>2.8</v>
      </c>
      <c r="H3" s="178">
        <v>2.6</v>
      </c>
      <c r="I3" s="179">
        <v>2.29</v>
      </c>
      <c r="J3" s="179">
        <v>1.99</v>
      </c>
      <c r="K3" s="179">
        <v>1.65</v>
      </c>
      <c r="L3" s="179">
        <v>1.58</v>
      </c>
      <c r="M3" s="179">
        <v>1.5</v>
      </c>
      <c r="N3" s="180">
        <v>1.47</v>
      </c>
      <c r="O3" s="459" t="str">
        <f>'Solution-based'!C8</f>
        <v># Endpoint Security (Servers, VMs, Workstations)</v>
      </c>
    </row>
    <row r="4" spans="1:15" ht="15" customHeight="1">
      <c r="A4" s="855"/>
      <c r="B4" s="838"/>
      <c r="C4" s="839"/>
      <c r="D4" s="101" t="s">
        <v>170</v>
      </c>
      <c r="E4" s="73" t="s">
        <v>168</v>
      </c>
      <c r="F4" s="115" t="s">
        <v>171</v>
      </c>
      <c r="G4" s="181">
        <v>3.2</v>
      </c>
      <c r="H4" s="182">
        <v>3.1</v>
      </c>
      <c r="I4" s="182">
        <v>3.01</v>
      </c>
      <c r="J4" s="183">
        <v>2.86</v>
      </c>
      <c r="K4" s="183">
        <v>2.72</v>
      </c>
      <c r="L4" s="183">
        <v>2.61</v>
      </c>
      <c r="M4" s="183">
        <v>2.5099999999999998</v>
      </c>
      <c r="N4" s="184">
        <v>2.46</v>
      </c>
      <c r="O4" s="459" t="str">
        <f>'Solution-based'!C9</f>
        <v># Microsoft 365 Security</v>
      </c>
    </row>
    <row r="5" spans="1:15" ht="15" customHeight="1">
      <c r="A5" s="855"/>
      <c r="B5" s="840"/>
      <c r="C5" s="841"/>
      <c r="D5" s="125" t="s">
        <v>172</v>
      </c>
      <c r="E5" s="120" t="s">
        <v>168</v>
      </c>
      <c r="F5" s="310" t="s">
        <v>173</v>
      </c>
      <c r="G5" s="185">
        <v>2.4</v>
      </c>
      <c r="H5" s="186">
        <v>2.33</v>
      </c>
      <c r="I5" s="187">
        <v>2.2599999999999998</v>
      </c>
      <c r="J5" s="187">
        <v>2.15</v>
      </c>
      <c r="K5" s="187">
        <v>2.04</v>
      </c>
      <c r="L5" s="187">
        <v>1.96</v>
      </c>
      <c r="M5" s="187">
        <v>1.88</v>
      </c>
      <c r="N5" s="188">
        <v>1.84</v>
      </c>
      <c r="O5" s="459" t="str">
        <f>'Solution-based'!C10</f>
        <v># Google Workspace Security</v>
      </c>
    </row>
    <row r="6" spans="1:15" ht="15" customHeight="1">
      <c r="A6" s="856"/>
      <c r="B6" s="815" t="s">
        <v>174</v>
      </c>
      <c r="C6" s="818" t="s">
        <v>175</v>
      </c>
      <c r="D6" s="127" t="s">
        <v>176</v>
      </c>
      <c r="E6" s="128" t="s">
        <v>6</v>
      </c>
      <c r="F6" s="311" t="s">
        <v>177</v>
      </c>
      <c r="G6" s="189">
        <v>65</v>
      </c>
      <c r="H6" s="190">
        <v>60.45</v>
      </c>
      <c r="I6" s="191">
        <v>55.61</v>
      </c>
      <c r="J6" s="191">
        <v>50.05</v>
      </c>
      <c r="K6" s="191">
        <v>46.05</v>
      </c>
      <c r="L6" s="191">
        <v>44.21</v>
      </c>
      <c r="M6" s="191">
        <v>42</v>
      </c>
      <c r="N6" s="192">
        <v>41.16</v>
      </c>
      <c r="O6" s="459" t="str">
        <f>'Solution-based'!C11</f>
        <v># BDR Server (3 TB of Acronis Hosted Storage included)</v>
      </c>
    </row>
    <row r="7" spans="1:15" ht="15" customHeight="1">
      <c r="A7" s="856"/>
      <c r="B7" s="816"/>
      <c r="C7" s="819"/>
      <c r="D7" s="101" t="s">
        <v>178</v>
      </c>
      <c r="E7" s="73" t="s">
        <v>6</v>
      </c>
      <c r="F7" s="115" t="s">
        <v>179</v>
      </c>
      <c r="G7" s="193">
        <v>45</v>
      </c>
      <c r="H7" s="183">
        <v>41.85</v>
      </c>
      <c r="I7" s="183">
        <v>38.5</v>
      </c>
      <c r="J7" s="183">
        <v>34.65</v>
      </c>
      <c r="K7" s="183">
        <v>31.88</v>
      </c>
      <c r="L7" s="183">
        <v>30.6</v>
      </c>
      <c r="M7" s="183">
        <v>29.07</v>
      </c>
      <c r="N7" s="184">
        <v>28.49</v>
      </c>
      <c r="O7" s="459" t="str">
        <f>'Solution-based'!C12</f>
        <v># BDR Virtual Machine (2 TB of Acronis Hosted Storage included)</v>
      </c>
    </row>
    <row r="8" spans="1:15" ht="15" customHeight="1">
      <c r="A8" s="856"/>
      <c r="B8" s="816"/>
      <c r="C8" s="819"/>
      <c r="D8" s="101" t="s">
        <v>180</v>
      </c>
      <c r="E8" s="73" t="s">
        <v>6</v>
      </c>
      <c r="F8" s="115" t="s">
        <v>181</v>
      </c>
      <c r="G8" s="181">
        <v>9</v>
      </c>
      <c r="H8" s="194">
        <v>8.3699999999999992</v>
      </c>
      <c r="I8" s="194">
        <v>7.7</v>
      </c>
      <c r="J8" s="195">
        <v>6.55</v>
      </c>
      <c r="K8" s="195">
        <v>5.9</v>
      </c>
      <c r="L8" s="195">
        <v>5.55</v>
      </c>
      <c r="M8" s="195">
        <v>5.1100000000000003</v>
      </c>
      <c r="N8" s="196">
        <v>5.01</v>
      </c>
      <c r="O8" s="459" t="str">
        <f>'Solution-based'!C13</f>
        <v># BDR Workstation (300 GB of Acronis Hosted Storage included)</v>
      </c>
    </row>
    <row r="9" spans="1:15" ht="15" customHeight="1">
      <c r="A9" s="856"/>
      <c r="B9" s="816"/>
      <c r="C9" s="819"/>
      <c r="D9" s="102" t="s">
        <v>182</v>
      </c>
      <c r="E9" s="73" t="s">
        <v>6</v>
      </c>
      <c r="F9" s="115" t="s">
        <v>183</v>
      </c>
      <c r="G9" s="181">
        <v>3</v>
      </c>
      <c r="H9" s="183">
        <v>2.85</v>
      </c>
      <c r="I9" s="183">
        <v>2.65</v>
      </c>
      <c r="J9" s="183">
        <v>2.39</v>
      </c>
      <c r="K9" s="183">
        <v>2.2000000000000002</v>
      </c>
      <c r="L9" s="183">
        <v>2.11</v>
      </c>
      <c r="M9" s="183">
        <v>2.0299999999999998</v>
      </c>
      <c r="N9" s="184">
        <v>1.99</v>
      </c>
      <c r="O9" s="459" t="str">
        <f>'Solution-based'!C14</f>
        <v># Microsoft 365 Backup + Archiving (unlimited Acronis Hosted Cloud Storage included*)</v>
      </c>
    </row>
    <row r="10" spans="1:15" ht="15" customHeight="1">
      <c r="A10" s="856"/>
      <c r="B10" s="816"/>
      <c r="C10" s="819"/>
      <c r="D10" s="102" t="s">
        <v>184</v>
      </c>
      <c r="E10" s="73" t="s">
        <v>6</v>
      </c>
      <c r="F10" s="115" t="s">
        <v>185</v>
      </c>
      <c r="G10" s="181">
        <v>2.4</v>
      </c>
      <c r="H10" s="182">
        <v>2.2799999999999998</v>
      </c>
      <c r="I10" s="183">
        <v>2.12</v>
      </c>
      <c r="J10" s="183">
        <v>1.91</v>
      </c>
      <c r="K10" s="183">
        <v>1.76</v>
      </c>
      <c r="L10" s="183">
        <v>1.69</v>
      </c>
      <c r="M10" s="183">
        <v>1.62</v>
      </c>
      <c r="N10" s="184">
        <v>1.59</v>
      </c>
      <c r="O10" s="459" t="str">
        <f>'Solution-based'!C15</f>
        <v># Google Workspace Backup (unlimited Acronis Hosted Cloud Storage included*)</v>
      </c>
    </row>
    <row r="11" spans="1:15" ht="15" customHeight="1">
      <c r="A11" s="856"/>
      <c r="B11" s="816"/>
      <c r="C11" s="820"/>
      <c r="D11" s="250" t="s">
        <v>186</v>
      </c>
      <c r="E11" s="71" t="s">
        <v>6</v>
      </c>
      <c r="F11" s="312" t="s">
        <v>187</v>
      </c>
      <c r="G11" s="197">
        <v>2</v>
      </c>
      <c r="H11" s="198">
        <v>1.84</v>
      </c>
      <c r="I11" s="199">
        <v>1.69</v>
      </c>
      <c r="J11" s="199">
        <v>1.4</v>
      </c>
      <c r="K11" s="199">
        <v>1.19</v>
      </c>
      <c r="L11" s="199">
        <v>1.1399999999999999</v>
      </c>
      <c r="M11" s="199">
        <v>1.0900000000000001</v>
      </c>
      <c r="N11" s="200">
        <v>1.06</v>
      </c>
      <c r="O11" s="459" t="str">
        <f>'Solution-based'!C16</f>
        <v># Mobile Backup (50 GB od Acronis Hosted Storage included)</v>
      </c>
    </row>
    <row r="12" spans="1:15" ht="15" customHeight="1">
      <c r="A12" s="856"/>
      <c r="B12" s="816"/>
      <c r="C12" s="818" t="s">
        <v>188</v>
      </c>
      <c r="D12" s="101" t="s">
        <v>189</v>
      </c>
      <c r="E12" s="70" t="s">
        <v>190</v>
      </c>
      <c r="F12" s="114" t="s">
        <v>191</v>
      </c>
      <c r="G12" s="201">
        <v>81.5</v>
      </c>
      <c r="H12" s="195">
        <v>75.8</v>
      </c>
      <c r="I12" s="195">
        <v>69.739999999999995</v>
      </c>
      <c r="J12" s="195">
        <v>62.77</v>
      </c>
      <c r="K12" s="195">
        <v>57.75</v>
      </c>
      <c r="L12" s="195">
        <v>55.44</v>
      </c>
      <c r="M12" s="195">
        <v>52.67</v>
      </c>
      <c r="N12" s="196">
        <v>51.62</v>
      </c>
      <c r="O12" s="459" t="str">
        <f>'Solution-based'!C11</f>
        <v># BDR Server (3 TB of Acronis Hosted Storage included)</v>
      </c>
    </row>
    <row r="13" spans="1:15" ht="15" customHeight="1">
      <c r="A13" s="856"/>
      <c r="B13" s="816"/>
      <c r="C13" s="819"/>
      <c r="D13" s="101" t="s">
        <v>192</v>
      </c>
      <c r="E13" s="73" t="s">
        <v>190</v>
      </c>
      <c r="F13" s="115" t="s">
        <v>193</v>
      </c>
      <c r="G13" s="201">
        <v>56.5</v>
      </c>
      <c r="H13" s="183">
        <v>52.55</v>
      </c>
      <c r="I13" s="183">
        <v>48.35</v>
      </c>
      <c r="J13" s="183">
        <v>43.52</v>
      </c>
      <c r="K13" s="183">
        <v>40.04</v>
      </c>
      <c r="L13" s="183">
        <v>38.44</v>
      </c>
      <c r="M13" s="183">
        <v>36.520000000000003</v>
      </c>
      <c r="N13" s="184">
        <v>35.79</v>
      </c>
      <c r="O13" s="459" t="str">
        <f>'Solution-based'!C12</f>
        <v># BDR Virtual Machine (2 TB of Acronis Hosted Storage included)</v>
      </c>
    </row>
    <row r="14" spans="1:15" ht="15" customHeight="1">
      <c r="A14" s="856"/>
      <c r="B14" s="816"/>
      <c r="C14" s="819"/>
      <c r="D14" s="101" t="s">
        <v>194</v>
      </c>
      <c r="E14" s="70" t="s">
        <v>190</v>
      </c>
      <c r="F14" s="114" t="s">
        <v>195</v>
      </c>
      <c r="G14" s="201">
        <v>11.3</v>
      </c>
      <c r="H14" s="183">
        <v>10.51</v>
      </c>
      <c r="I14" s="183">
        <v>9.67</v>
      </c>
      <c r="J14" s="183">
        <v>8.51</v>
      </c>
      <c r="K14" s="183">
        <v>7.74</v>
      </c>
      <c r="L14" s="183">
        <v>7.28</v>
      </c>
      <c r="M14" s="183">
        <v>6.84</v>
      </c>
      <c r="N14" s="184">
        <v>6.7</v>
      </c>
      <c r="O14" s="459" t="str">
        <f>'Solution-based'!C13</f>
        <v># BDR Workstation (300 GB of Acronis Hosted Storage included)</v>
      </c>
    </row>
    <row r="15" spans="1:15" ht="15" customHeight="1">
      <c r="A15" s="856"/>
      <c r="B15" s="816"/>
      <c r="C15" s="819"/>
      <c r="D15" s="102" t="s">
        <v>196</v>
      </c>
      <c r="E15" s="73" t="s">
        <v>190</v>
      </c>
      <c r="F15" s="115" t="s">
        <v>197</v>
      </c>
      <c r="G15" s="201">
        <v>4.0999999999999996</v>
      </c>
      <c r="H15" s="183">
        <v>3.9</v>
      </c>
      <c r="I15" s="183">
        <v>3.63</v>
      </c>
      <c r="J15" s="183">
        <v>3.27</v>
      </c>
      <c r="K15" s="183">
        <v>3.01</v>
      </c>
      <c r="L15" s="183">
        <v>2.89</v>
      </c>
      <c r="M15" s="183">
        <v>2.77</v>
      </c>
      <c r="N15" s="184">
        <v>2.71</v>
      </c>
      <c r="O15" s="459" t="str">
        <f>'Solution-based'!C14</f>
        <v># Microsoft 365 Backup + Archiving (unlimited Acronis Hosted Cloud Storage included*)</v>
      </c>
    </row>
    <row r="16" spans="1:15" ht="15" customHeight="1">
      <c r="A16" s="856"/>
      <c r="B16" s="816"/>
      <c r="C16" s="819"/>
      <c r="D16" s="102" t="s">
        <v>198</v>
      </c>
      <c r="E16" s="73" t="s">
        <v>190</v>
      </c>
      <c r="F16" s="115" t="s">
        <v>199</v>
      </c>
      <c r="G16" s="201">
        <v>3.22</v>
      </c>
      <c r="H16" s="183">
        <v>3.06</v>
      </c>
      <c r="I16" s="183">
        <v>2.85</v>
      </c>
      <c r="J16" s="183">
        <v>2.57</v>
      </c>
      <c r="K16" s="183">
        <v>2.36</v>
      </c>
      <c r="L16" s="183">
        <v>2.27</v>
      </c>
      <c r="M16" s="183">
        <v>2.1800000000000002</v>
      </c>
      <c r="N16" s="184">
        <v>2.14</v>
      </c>
      <c r="O16" s="459" t="str">
        <f>'Solution-based'!C15</f>
        <v># Google Workspace Backup (unlimited Acronis Hosted Cloud Storage included*)</v>
      </c>
    </row>
    <row r="17" spans="1:15" ht="15" customHeight="1">
      <c r="A17" s="856"/>
      <c r="B17" s="817"/>
      <c r="C17" s="820"/>
      <c r="D17" s="250" t="s">
        <v>200</v>
      </c>
      <c r="E17" s="126" t="s">
        <v>190</v>
      </c>
      <c r="F17" s="251" t="s">
        <v>201</v>
      </c>
      <c r="G17" s="202">
        <v>2.2999999999999998</v>
      </c>
      <c r="H17" s="199">
        <v>2.12</v>
      </c>
      <c r="I17" s="199">
        <v>1.95</v>
      </c>
      <c r="J17" s="199">
        <v>1.62</v>
      </c>
      <c r="K17" s="199">
        <v>1.38</v>
      </c>
      <c r="L17" s="199">
        <v>1.32</v>
      </c>
      <c r="M17" s="199">
        <v>1.27</v>
      </c>
      <c r="N17" s="200">
        <v>1.23</v>
      </c>
      <c r="O17" s="459" t="str">
        <f>'Solution-based'!C16</f>
        <v># Mobile Backup (50 GB od Acronis Hosted Storage included)</v>
      </c>
    </row>
    <row r="18" spans="1:15" ht="15" customHeight="1">
      <c r="A18" s="855"/>
      <c r="B18" s="815" t="s">
        <v>24</v>
      </c>
      <c r="C18" s="818" t="s">
        <v>175</v>
      </c>
      <c r="D18" s="101" t="s">
        <v>202</v>
      </c>
      <c r="E18" s="70" t="s">
        <v>6</v>
      </c>
      <c r="F18" s="114" t="s">
        <v>203</v>
      </c>
      <c r="G18" s="203">
        <v>71</v>
      </c>
      <c r="H18" s="194">
        <v>66.03</v>
      </c>
      <c r="I18" s="194">
        <v>60.75</v>
      </c>
      <c r="J18" s="195">
        <v>54.68</v>
      </c>
      <c r="K18" s="195">
        <v>51.95</v>
      </c>
      <c r="L18" s="195">
        <v>50.39</v>
      </c>
      <c r="M18" s="195">
        <v>48.88</v>
      </c>
      <c r="N18" s="196">
        <v>47.9</v>
      </c>
      <c r="O18" s="459" t="str">
        <f>'Solution-based'!C17</f>
        <v># Ultimate Server (3 TB of Acronis Hosted Storage included)</v>
      </c>
    </row>
    <row r="19" spans="1:15" ht="15" customHeight="1">
      <c r="A19" s="855"/>
      <c r="B19" s="816"/>
      <c r="C19" s="819"/>
      <c r="D19" s="101" t="s">
        <v>204</v>
      </c>
      <c r="E19" s="73" t="s">
        <v>6</v>
      </c>
      <c r="F19" s="115" t="s">
        <v>205</v>
      </c>
      <c r="G19" s="181">
        <v>50</v>
      </c>
      <c r="H19" s="182">
        <v>46.5</v>
      </c>
      <c r="I19" s="183">
        <v>43.25</v>
      </c>
      <c r="J19" s="183">
        <v>40.659999999999997</v>
      </c>
      <c r="K19" s="183">
        <v>39.03</v>
      </c>
      <c r="L19" s="183">
        <v>37.86</v>
      </c>
      <c r="M19" s="183">
        <v>37.1</v>
      </c>
      <c r="N19" s="184">
        <v>36.36</v>
      </c>
      <c r="O19" s="459" t="str">
        <f>'Solution-based'!C18</f>
        <v># Ultimate Virtual Machine (2 TB of Acronis Hosted Storage included)</v>
      </c>
    </row>
    <row r="20" spans="1:15" ht="15" customHeight="1">
      <c r="A20" s="855"/>
      <c r="B20" s="816"/>
      <c r="C20" s="819"/>
      <c r="D20" s="101" t="s">
        <v>206</v>
      </c>
      <c r="E20" s="73" t="s">
        <v>6</v>
      </c>
      <c r="F20" s="115" t="s">
        <v>207</v>
      </c>
      <c r="G20" s="181">
        <v>13.5</v>
      </c>
      <c r="H20" s="182">
        <v>12.56</v>
      </c>
      <c r="I20" s="183">
        <v>11.56</v>
      </c>
      <c r="J20" s="183">
        <v>10.17</v>
      </c>
      <c r="K20" s="187">
        <v>9.25</v>
      </c>
      <c r="L20" s="187">
        <v>8.6999999999999993</v>
      </c>
      <c r="M20" s="187">
        <v>8.18</v>
      </c>
      <c r="N20" s="188">
        <v>8.02</v>
      </c>
      <c r="O20" s="459" t="str">
        <f>'Solution-based'!C19</f>
        <v># Ultimate Workstation (300 GB of Acronis Hosted Storage included)</v>
      </c>
    </row>
    <row r="21" spans="1:15" ht="15" customHeight="1">
      <c r="A21" s="855"/>
      <c r="B21" s="816"/>
      <c r="C21" s="819"/>
      <c r="D21" s="102" t="s">
        <v>208</v>
      </c>
      <c r="E21" s="73" t="s">
        <v>6</v>
      </c>
      <c r="F21" s="115" t="s">
        <v>209</v>
      </c>
      <c r="G21" s="181">
        <v>8.1999999999999993</v>
      </c>
      <c r="H21" s="182">
        <v>7.79</v>
      </c>
      <c r="I21" s="183">
        <v>7.32</v>
      </c>
      <c r="J21" s="183">
        <v>6.73</v>
      </c>
      <c r="K21" s="187">
        <v>6.19</v>
      </c>
      <c r="L21" s="187">
        <v>6</v>
      </c>
      <c r="M21" s="187">
        <v>5.82</v>
      </c>
      <c r="N21" s="188">
        <v>5.7</v>
      </c>
      <c r="O21" s="459" t="str">
        <f>'Solution-based'!C20</f>
        <v># Ultimate Microsoft 365 (unlimited Acronis Hosted Cloud Storage included*)</v>
      </c>
    </row>
    <row r="22" spans="1:15" ht="15" customHeight="1">
      <c r="A22" s="855"/>
      <c r="B22" s="816"/>
      <c r="C22" s="820"/>
      <c r="D22" s="129" t="s">
        <v>210</v>
      </c>
      <c r="E22" s="71" t="s">
        <v>6</v>
      </c>
      <c r="F22" s="312" t="s">
        <v>211</v>
      </c>
      <c r="G22" s="197">
        <v>4.5</v>
      </c>
      <c r="H22" s="198">
        <v>4.28</v>
      </c>
      <c r="I22" s="199">
        <v>4.0199999999999996</v>
      </c>
      <c r="J22" s="199">
        <v>3.7</v>
      </c>
      <c r="K22" s="199">
        <v>3.4</v>
      </c>
      <c r="L22" s="199">
        <v>3.3</v>
      </c>
      <c r="M22" s="199">
        <v>3.2</v>
      </c>
      <c r="N22" s="200">
        <v>3.14</v>
      </c>
      <c r="O22" s="459" t="str">
        <f>'Solution-based'!C21</f>
        <v># Ultimate Google Workspace (unlimited Acronis Hosted Cloud Storage included*)</v>
      </c>
    </row>
    <row r="23" spans="1:15" ht="15" customHeight="1">
      <c r="A23" s="855"/>
      <c r="B23" s="816"/>
      <c r="C23" s="818" t="s">
        <v>188</v>
      </c>
      <c r="D23" s="101" t="s">
        <v>212</v>
      </c>
      <c r="E23" s="70" t="s">
        <v>190</v>
      </c>
      <c r="F23" s="114" t="s">
        <v>213</v>
      </c>
      <c r="G23" s="203">
        <v>87.5</v>
      </c>
      <c r="H23" s="194">
        <v>81.38</v>
      </c>
      <c r="I23" s="194">
        <v>74.87</v>
      </c>
      <c r="J23" s="194">
        <v>67.38</v>
      </c>
      <c r="K23" s="194">
        <v>64.010000000000005</v>
      </c>
      <c r="L23" s="194">
        <v>62.09</v>
      </c>
      <c r="M23" s="194">
        <v>60.23</v>
      </c>
      <c r="N23" s="204">
        <v>59.03</v>
      </c>
      <c r="O23" s="459" t="str">
        <f>'Solution-based'!C17</f>
        <v># Ultimate Server (3 TB of Acronis Hosted Storage included)</v>
      </c>
    </row>
    <row r="24" spans="1:15" ht="15" customHeight="1">
      <c r="A24" s="855"/>
      <c r="B24" s="816"/>
      <c r="C24" s="819"/>
      <c r="D24" s="101" t="s">
        <v>214</v>
      </c>
      <c r="E24" s="73" t="s">
        <v>190</v>
      </c>
      <c r="F24" s="115" t="s">
        <v>215</v>
      </c>
      <c r="G24" s="203">
        <v>61.5</v>
      </c>
      <c r="H24" s="182">
        <v>57.2</v>
      </c>
      <c r="I24" s="182">
        <v>53.2</v>
      </c>
      <c r="J24" s="182">
        <v>50.01</v>
      </c>
      <c r="K24" s="182">
        <v>48.01</v>
      </c>
      <c r="L24" s="182">
        <v>46.57</v>
      </c>
      <c r="M24" s="182">
        <v>45.64</v>
      </c>
      <c r="N24" s="205">
        <v>44.73</v>
      </c>
      <c r="O24" s="459" t="str">
        <f>'Solution-based'!C18</f>
        <v># Ultimate Virtual Machine (2 TB of Acronis Hosted Storage included)</v>
      </c>
    </row>
    <row r="25" spans="1:15" ht="15" customHeight="1">
      <c r="A25" s="855"/>
      <c r="B25" s="816"/>
      <c r="C25" s="819"/>
      <c r="D25" s="101" t="s">
        <v>216</v>
      </c>
      <c r="E25" s="70" t="s">
        <v>190</v>
      </c>
      <c r="F25" s="114" t="s">
        <v>217</v>
      </c>
      <c r="G25" s="203">
        <v>16.2</v>
      </c>
      <c r="H25" s="182">
        <v>15.07</v>
      </c>
      <c r="I25" s="182">
        <v>13.86</v>
      </c>
      <c r="J25" s="182">
        <v>12.2</v>
      </c>
      <c r="K25" s="182">
        <v>11.1</v>
      </c>
      <c r="L25" s="182">
        <v>10.43</v>
      </c>
      <c r="M25" s="182">
        <v>9.8000000000000007</v>
      </c>
      <c r="N25" s="205">
        <v>9.6</v>
      </c>
      <c r="O25" s="459" t="str">
        <f>'Solution-based'!C19</f>
        <v># Ultimate Workstation (300 GB of Acronis Hosted Storage included)</v>
      </c>
    </row>
    <row r="26" spans="1:15" ht="15" customHeight="1">
      <c r="A26" s="855"/>
      <c r="B26" s="816"/>
      <c r="C26" s="819"/>
      <c r="D26" s="102" t="s">
        <v>218</v>
      </c>
      <c r="E26" s="73" t="s">
        <v>190</v>
      </c>
      <c r="F26" s="115" t="s">
        <v>219</v>
      </c>
      <c r="G26" s="181">
        <v>9.5</v>
      </c>
      <c r="H26" s="182">
        <v>9.0299999999999994</v>
      </c>
      <c r="I26" s="182">
        <v>8.49</v>
      </c>
      <c r="J26" s="182">
        <v>7.81</v>
      </c>
      <c r="K26" s="182">
        <v>7.19</v>
      </c>
      <c r="L26" s="182">
        <v>6.97</v>
      </c>
      <c r="M26" s="182">
        <v>6.76</v>
      </c>
      <c r="N26" s="205">
        <v>6.62</v>
      </c>
      <c r="O26" s="459" t="str">
        <f>'Solution-based'!C20</f>
        <v># Ultimate Microsoft 365 (unlimited Acronis Hosted Cloud Storage included*)</v>
      </c>
    </row>
    <row r="27" spans="1:15" ht="15" customHeight="1">
      <c r="A27" s="855"/>
      <c r="B27" s="817"/>
      <c r="C27" s="820"/>
      <c r="D27" s="129" t="s">
        <v>220</v>
      </c>
      <c r="E27" s="126" t="s">
        <v>190</v>
      </c>
      <c r="F27" s="251" t="s">
        <v>221</v>
      </c>
      <c r="G27" s="206">
        <v>5.35</v>
      </c>
      <c r="H27" s="198">
        <v>5.08</v>
      </c>
      <c r="I27" s="198">
        <v>4.78</v>
      </c>
      <c r="J27" s="198">
        <v>4.4000000000000004</v>
      </c>
      <c r="K27" s="198">
        <v>4.05</v>
      </c>
      <c r="L27" s="198">
        <v>3.93</v>
      </c>
      <c r="M27" s="198">
        <v>3.81</v>
      </c>
      <c r="N27" s="207">
        <v>3.73</v>
      </c>
      <c r="O27" s="459" t="str">
        <f>'Solution-based'!C21</f>
        <v># Ultimate Google Workspace (unlimited Acronis Hosted Cloud Storage included*)</v>
      </c>
    </row>
    <row r="28" spans="1:15" ht="15" customHeight="1">
      <c r="A28" s="855"/>
      <c r="B28" s="848" t="s">
        <v>31</v>
      </c>
      <c r="C28" s="849"/>
      <c r="D28" s="955" t="s">
        <v>222</v>
      </c>
      <c r="E28" s="956" t="s">
        <v>168</v>
      </c>
      <c r="F28" s="957" t="s">
        <v>223</v>
      </c>
      <c r="G28" s="252">
        <v>1.9</v>
      </c>
      <c r="H28" s="253">
        <v>1.8</v>
      </c>
      <c r="I28" s="254">
        <v>1.7</v>
      </c>
      <c r="J28" s="958">
        <v>1.65</v>
      </c>
      <c r="K28" s="958">
        <v>1.6</v>
      </c>
      <c r="L28" s="958">
        <v>1.55</v>
      </c>
      <c r="M28" s="958">
        <v>1.5</v>
      </c>
      <c r="N28" s="959">
        <v>1.45</v>
      </c>
      <c r="O28" s="459" t="str">
        <f>'Solution-based'!C23</f>
        <v># Standard In-house MDR Workloads for Solution-Base Licensing, Partner-level (Servers, VMs, Workstations, Hosting Servers)</v>
      </c>
    </row>
    <row r="29" spans="1:15" ht="15" customHeight="1">
      <c r="A29" s="855"/>
      <c r="B29" s="848"/>
      <c r="C29" s="849"/>
      <c r="D29" s="960" t="s">
        <v>224</v>
      </c>
      <c r="E29" s="961" t="s">
        <v>168</v>
      </c>
      <c r="F29" s="962" t="s">
        <v>225</v>
      </c>
      <c r="G29" s="252">
        <v>3.2</v>
      </c>
      <c r="H29" s="253">
        <v>3</v>
      </c>
      <c r="I29" s="254">
        <v>2.9</v>
      </c>
      <c r="J29" s="958">
        <v>2.8</v>
      </c>
      <c r="K29" s="958">
        <v>2.7</v>
      </c>
      <c r="L29" s="958">
        <v>2.6</v>
      </c>
      <c r="M29" s="958">
        <v>2.5</v>
      </c>
      <c r="N29" s="959">
        <v>2.4</v>
      </c>
      <c r="O29" s="459" t="str">
        <f>'Solution-based'!C24</f>
        <v># Advanced In-house MDR Workloads for Solution-Base Licensing, Partner-level (Servers, VMs, Workstations, Hosting Servers)</v>
      </c>
    </row>
    <row r="30" spans="1:15" ht="15" customHeight="1">
      <c r="A30" s="855"/>
      <c r="B30" s="848"/>
      <c r="C30" s="849"/>
      <c r="D30" s="960" t="s">
        <v>226</v>
      </c>
      <c r="E30" s="961" t="s">
        <v>168</v>
      </c>
      <c r="F30" s="963" t="s">
        <v>227</v>
      </c>
      <c r="G30" s="358">
        <v>2.4</v>
      </c>
      <c r="H30" s="359">
        <v>2.2999999999999998</v>
      </c>
      <c r="I30" s="359">
        <v>2.2000000000000002</v>
      </c>
      <c r="J30" s="964">
        <v>2.15</v>
      </c>
      <c r="K30" s="964">
        <v>2.1</v>
      </c>
      <c r="L30" s="964">
        <v>2.0499999999999998</v>
      </c>
      <c r="M30" s="964">
        <v>2</v>
      </c>
      <c r="N30" s="965">
        <v>1.95</v>
      </c>
      <c r="O30" s="459" t="str">
        <f>'Solution-based'!C25</f>
        <v># Standard In-house MDR Workloads for Solution-Base Licensing, Customer-level (Servers, VMs, Workstations, Hosting Servers)</v>
      </c>
    </row>
    <row r="31" spans="1:15" ht="15" customHeight="1">
      <c r="A31" s="855"/>
      <c r="B31" s="848"/>
      <c r="C31" s="849"/>
      <c r="D31" s="960" t="s">
        <v>228</v>
      </c>
      <c r="E31" s="961" t="s">
        <v>168</v>
      </c>
      <c r="F31" s="963" t="s">
        <v>229</v>
      </c>
      <c r="G31" s="358">
        <v>3.7</v>
      </c>
      <c r="H31" s="359">
        <v>3.5</v>
      </c>
      <c r="I31" s="359">
        <v>3.4</v>
      </c>
      <c r="J31" s="964">
        <v>3.3</v>
      </c>
      <c r="K31" s="964">
        <v>3.2</v>
      </c>
      <c r="L31" s="964">
        <v>3.1</v>
      </c>
      <c r="M31" s="964">
        <v>3</v>
      </c>
      <c r="N31" s="965">
        <v>2.9</v>
      </c>
      <c r="O31" s="459" t="str">
        <f>'Solution-based'!C26</f>
        <v># Advanced In-house MDR Workloads for Solution-Base Licensing, Customer-level (Servers, VMs, Workstations, Hosting Servers)</v>
      </c>
    </row>
    <row r="32" spans="1:15" ht="15" customHeight="1">
      <c r="A32" s="855"/>
      <c r="B32" s="848"/>
      <c r="C32" s="849"/>
      <c r="D32" s="960" t="s">
        <v>230</v>
      </c>
      <c r="E32" s="966" t="s">
        <v>168</v>
      </c>
      <c r="F32" s="963" t="s">
        <v>231</v>
      </c>
      <c r="G32" s="203">
        <v>3.2</v>
      </c>
      <c r="H32" s="194">
        <v>3.1</v>
      </c>
      <c r="I32" s="194">
        <v>3</v>
      </c>
      <c r="J32" s="195">
        <v>2.9</v>
      </c>
      <c r="K32" s="195">
        <v>2.8</v>
      </c>
      <c r="L32" s="195">
        <v>2.78</v>
      </c>
      <c r="M32" s="195">
        <v>2.75</v>
      </c>
      <c r="N32" s="196">
        <v>2.69</v>
      </c>
      <c r="O32" s="459" t="str">
        <f>'Solution-based'!C27</f>
        <v># Standard 3rd Party MDR Workloads for Solution-Base Licensing (Servers, VMs, Workstations, Hosting Servers)</v>
      </c>
    </row>
    <row r="33" spans="1:15" ht="15" customHeight="1">
      <c r="A33" s="855"/>
      <c r="B33" s="844"/>
      <c r="C33" s="845"/>
      <c r="D33" s="967" t="s">
        <v>232</v>
      </c>
      <c r="E33" s="968" t="s">
        <v>168</v>
      </c>
      <c r="F33" s="969" t="s">
        <v>233</v>
      </c>
      <c r="G33" s="197">
        <v>6.4</v>
      </c>
      <c r="H33" s="198">
        <v>6.2</v>
      </c>
      <c r="I33" s="199">
        <v>6</v>
      </c>
      <c r="J33" s="199">
        <v>5.8</v>
      </c>
      <c r="K33" s="199">
        <v>5.6</v>
      </c>
      <c r="L33" s="199">
        <v>5.55</v>
      </c>
      <c r="M33" s="199">
        <v>5.5</v>
      </c>
      <c r="N33" s="200">
        <v>5.37</v>
      </c>
      <c r="O33" s="459" t="str">
        <f>'Solution-based'!C28</f>
        <v># Advanced 3rd Party MDR Workloads for Solution-Base Licensing (Servers, VMs, Workstations, Hosting Servers)</v>
      </c>
    </row>
    <row r="34" spans="1:15" ht="15" customHeight="1">
      <c r="A34" s="855"/>
      <c r="B34" s="846" t="s">
        <v>39</v>
      </c>
      <c r="C34" s="847"/>
      <c r="D34" s="960" t="s">
        <v>234</v>
      </c>
      <c r="E34" s="966" t="s">
        <v>168</v>
      </c>
      <c r="F34" s="963" t="s">
        <v>235</v>
      </c>
      <c r="G34" s="203">
        <v>1.4</v>
      </c>
      <c r="H34" s="194">
        <v>1.33</v>
      </c>
      <c r="I34" s="195">
        <v>1.24</v>
      </c>
      <c r="J34" s="195">
        <v>1.1200000000000001</v>
      </c>
      <c r="K34" s="255">
        <v>1.03</v>
      </c>
      <c r="L34" s="255">
        <v>0.99</v>
      </c>
      <c r="M34" s="255">
        <v>0.95</v>
      </c>
      <c r="N34" s="256">
        <v>0.93</v>
      </c>
      <c r="O34" s="459" t="str">
        <f>'Solution-based'!C29</f>
        <v># Security Awareness Training for Solution-based Licensing (Users)</v>
      </c>
    </row>
    <row r="35" spans="1:15" ht="15" customHeight="1">
      <c r="A35" s="855"/>
      <c r="B35" s="842" t="s">
        <v>41</v>
      </c>
      <c r="C35" s="843"/>
      <c r="D35" s="955" t="s">
        <v>236</v>
      </c>
      <c r="E35" s="956" t="s">
        <v>6</v>
      </c>
      <c r="F35" s="957" t="s">
        <v>237</v>
      </c>
      <c r="G35" s="189">
        <v>4.3499999999999997E-2</v>
      </c>
      <c r="H35" s="208">
        <v>3.8699999999999998E-2</v>
      </c>
      <c r="I35" s="208">
        <v>3.4099999999999998E-2</v>
      </c>
      <c r="J35" s="208">
        <v>2.86E-2</v>
      </c>
      <c r="K35" s="208">
        <v>2.3199999999999998E-2</v>
      </c>
      <c r="L35" s="208">
        <v>2.18E-2</v>
      </c>
      <c r="M35" s="208">
        <v>2.0899999999999998E-2</v>
      </c>
      <c r="N35" s="209">
        <v>2.0299999999999999E-2</v>
      </c>
      <c r="O35" s="459" t="str">
        <f>'Solution-based'!C30</f>
        <v>Acronis Cloud Storage at Acronis Datacenter (for Solution-based Licensing overages)</v>
      </c>
    </row>
    <row r="36" spans="1:15" ht="15" customHeight="1">
      <c r="A36" s="855"/>
      <c r="B36" s="844"/>
      <c r="C36" s="845"/>
      <c r="D36" s="970" t="s">
        <v>238</v>
      </c>
      <c r="E36" s="971" t="s">
        <v>190</v>
      </c>
      <c r="F36" s="972" t="s">
        <v>239</v>
      </c>
      <c r="G36" s="206">
        <v>5.4600000000000003E-2</v>
      </c>
      <c r="H36" s="210">
        <v>4.8599999999999997E-2</v>
      </c>
      <c r="I36" s="210">
        <v>4.2799999999999998E-2</v>
      </c>
      <c r="J36" s="210">
        <v>3.5999999999999997E-2</v>
      </c>
      <c r="K36" s="210">
        <v>2.92E-2</v>
      </c>
      <c r="L36" s="210">
        <v>2.7400000000000001E-2</v>
      </c>
      <c r="M36" s="210">
        <v>2.63E-2</v>
      </c>
      <c r="N36" s="211">
        <v>2.58E-2</v>
      </c>
      <c r="O36" s="459" t="str">
        <f>'Solution-based'!C30</f>
        <v>Acronis Cloud Storage at Acronis Datacenter (for Solution-based Licensing overages)</v>
      </c>
    </row>
    <row r="37" spans="1:15" ht="15" customHeight="1">
      <c r="A37" s="855"/>
      <c r="B37" s="842" t="s">
        <v>240</v>
      </c>
      <c r="C37" s="843"/>
      <c r="D37" s="973" t="s">
        <v>241</v>
      </c>
      <c r="E37" s="966" t="s">
        <v>6</v>
      </c>
      <c r="F37" s="963" t="s">
        <v>242</v>
      </c>
      <c r="G37" s="189">
        <v>3.2500000000000001E-2</v>
      </c>
      <c r="H37" s="208">
        <v>2.8899999999999999E-2</v>
      </c>
      <c r="I37" s="208">
        <v>2.5399999999999999E-2</v>
      </c>
      <c r="J37" s="208">
        <v>2.1600000000000001E-2</v>
      </c>
      <c r="K37" s="208">
        <v>1.77E-2</v>
      </c>
      <c r="L37" s="208">
        <v>1.66E-2</v>
      </c>
      <c r="M37" s="208">
        <v>1.5900000000000001E-2</v>
      </c>
      <c r="N37" s="209">
        <v>1.54E-2</v>
      </c>
      <c r="O37" s="459" t="str">
        <f>'Solution-based'!C31</f>
        <v>Solution-based licensing - Backup Geo-redundant - Acronis Hosted Storage</v>
      </c>
    </row>
    <row r="38" spans="1:15" ht="15" customHeight="1">
      <c r="A38" s="855"/>
      <c r="B38" s="848"/>
      <c r="C38" s="849"/>
      <c r="D38" s="973" t="s">
        <v>243</v>
      </c>
      <c r="E38" s="966" t="s">
        <v>6</v>
      </c>
      <c r="F38" s="962" t="s">
        <v>244</v>
      </c>
      <c r="G38" s="181">
        <v>1.73</v>
      </c>
      <c r="H38" s="182">
        <v>1.64</v>
      </c>
      <c r="I38" s="182">
        <v>1.53</v>
      </c>
      <c r="J38" s="182">
        <v>1.38</v>
      </c>
      <c r="K38" s="182">
        <v>1.27</v>
      </c>
      <c r="L38" s="182">
        <v>1.22</v>
      </c>
      <c r="M38" s="182">
        <v>1.17</v>
      </c>
      <c r="N38" s="205">
        <v>1.1499999999999999</v>
      </c>
      <c r="O38" s="459" t="str">
        <f>'Solution-based'!C32</f>
        <v>Solution-based licensing - # Geo-redundant Microsoft 365 seat (unlimited Acronis Hosted Cloud Storage included*)</v>
      </c>
    </row>
    <row r="39" spans="1:15" ht="15" customHeight="1">
      <c r="A39" s="855"/>
      <c r="B39" s="844"/>
      <c r="C39" s="845"/>
      <c r="D39" s="974" t="s">
        <v>245</v>
      </c>
      <c r="E39" s="971" t="s">
        <v>6</v>
      </c>
      <c r="F39" s="969" t="s">
        <v>246</v>
      </c>
      <c r="G39" s="197">
        <v>1.73</v>
      </c>
      <c r="H39" s="198">
        <v>1.64</v>
      </c>
      <c r="I39" s="198">
        <v>1.53</v>
      </c>
      <c r="J39" s="198">
        <v>1.38</v>
      </c>
      <c r="K39" s="198">
        <v>1.27</v>
      </c>
      <c r="L39" s="198">
        <v>1.22</v>
      </c>
      <c r="M39" s="198">
        <v>1.17</v>
      </c>
      <c r="N39" s="207">
        <v>1.1499999999999999</v>
      </c>
      <c r="O39" s="459" t="str">
        <f>'Solution-based'!C33</f>
        <v>Solution-based licensing - # Geo-redundant Google Workspace seat (unlimited Acronis Hosted Cloud Storage included*)</v>
      </c>
    </row>
    <row r="40" spans="1:15" ht="15" customHeight="1">
      <c r="A40" s="855"/>
      <c r="B40" s="842" t="s">
        <v>48</v>
      </c>
      <c r="C40" s="843"/>
      <c r="D40" s="960" t="s">
        <v>247</v>
      </c>
      <c r="E40" s="966" t="s">
        <v>168</v>
      </c>
      <c r="F40" s="963" t="s">
        <v>248</v>
      </c>
      <c r="G40" s="203">
        <v>0.06</v>
      </c>
      <c r="H40" s="194">
        <v>5.5800000000000002E-2</v>
      </c>
      <c r="I40" s="194">
        <v>5.1299999999999998E-2</v>
      </c>
      <c r="J40" s="194">
        <v>4.6199999999999998E-2</v>
      </c>
      <c r="K40" s="194">
        <v>4.2500000000000003E-2</v>
      </c>
      <c r="L40" s="194">
        <v>4.0800000000000003E-2</v>
      </c>
      <c r="M40" s="194">
        <v>3.8800000000000001E-2</v>
      </c>
      <c r="N40" s="204">
        <v>3.7999999999999999E-2</v>
      </c>
      <c r="O40" s="459" t="str">
        <f>'Solution-based'!C34</f>
        <v>Monthly Compute Point Consumption for BDR/Ultimate</v>
      </c>
    </row>
    <row r="41" spans="1:15" ht="15" customHeight="1" thickBot="1">
      <c r="A41" s="855"/>
      <c r="B41" s="848"/>
      <c r="C41" s="849"/>
      <c r="D41" s="975" t="s">
        <v>249</v>
      </c>
      <c r="E41" s="976" t="s">
        <v>168</v>
      </c>
      <c r="F41" s="977" t="s">
        <v>250</v>
      </c>
      <c r="G41" s="212">
        <v>3</v>
      </c>
      <c r="H41" s="213">
        <v>2.79</v>
      </c>
      <c r="I41" s="213">
        <v>2.57</v>
      </c>
      <c r="J41" s="213">
        <v>2.31</v>
      </c>
      <c r="K41" s="213">
        <v>2.13</v>
      </c>
      <c r="L41" s="213">
        <v>2.04</v>
      </c>
      <c r="M41" s="213">
        <v>1.94</v>
      </c>
      <c r="N41" s="214">
        <v>1.9</v>
      </c>
      <c r="O41" s="459" t="str">
        <f>'Solution-based'!C35</f>
        <v>Public IPs for BDR/Ultimate</v>
      </c>
    </row>
    <row r="42" spans="1:15" ht="14.45" customHeight="1">
      <c r="A42" s="800" t="s">
        <v>251</v>
      </c>
      <c r="B42" s="808" t="s">
        <v>83</v>
      </c>
      <c r="C42" s="811"/>
      <c r="D42" s="978" t="s">
        <v>252</v>
      </c>
      <c r="E42" s="979" t="s">
        <v>168</v>
      </c>
      <c r="F42" s="980" t="s">
        <v>253</v>
      </c>
      <c r="G42" s="215">
        <v>1.2</v>
      </c>
      <c r="H42" s="216">
        <v>1.1200000000000001</v>
      </c>
      <c r="I42" s="217">
        <v>1</v>
      </c>
      <c r="J42" s="179">
        <v>0.89</v>
      </c>
      <c r="K42" s="179">
        <v>0.76</v>
      </c>
      <c r="L42" s="179">
        <v>0.73</v>
      </c>
      <c r="M42" s="179">
        <v>0.69</v>
      </c>
      <c r="N42" s="180">
        <v>0.68</v>
      </c>
      <c r="O42" s="459" t="str">
        <f>'Service-based'!C6</f>
        <v># Endpoint Detection and Response (EDR) Workloads (Servers, VMs, Workstations, Hosting Servers)</v>
      </c>
    </row>
    <row r="43" spans="1:15" ht="14.45" customHeight="1">
      <c r="A43" s="801"/>
      <c r="B43" s="804"/>
      <c r="C43" s="805"/>
      <c r="D43" s="981" t="s">
        <v>254</v>
      </c>
      <c r="E43" s="961" t="s">
        <v>168</v>
      </c>
      <c r="F43" s="962" t="s">
        <v>255</v>
      </c>
      <c r="G43" s="203">
        <v>1.8</v>
      </c>
      <c r="H43" s="195">
        <v>1.67</v>
      </c>
      <c r="I43" s="195">
        <v>1.49</v>
      </c>
      <c r="J43" s="218">
        <v>1.33</v>
      </c>
      <c r="K43" s="218">
        <v>1.1299999999999999</v>
      </c>
      <c r="L43" s="218">
        <v>1.08</v>
      </c>
      <c r="M43" s="218">
        <v>1.03</v>
      </c>
      <c r="N43" s="219">
        <v>1.01</v>
      </c>
      <c r="O43" s="459" t="str">
        <f>'Service-based'!C7</f>
        <v># Extended Detection and Response (XDR) Workloads (Servers, VMs, Workstations, Hosting Servers)</v>
      </c>
    </row>
    <row r="44" spans="1:15" ht="14.45" customHeight="1">
      <c r="A44" s="801"/>
      <c r="B44" s="804"/>
      <c r="C44" s="805"/>
      <c r="D44" s="982" t="s">
        <v>256</v>
      </c>
      <c r="E44" s="961" t="s">
        <v>168</v>
      </c>
      <c r="F44" s="962" t="s">
        <v>257</v>
      </c>
      <c r="G44" s="252">
        <v>1.9</v>
      </c>
      <c r="H44" s="253">
        <v>1.8</v>
      </c>
      <c r="I44" s="254">
        <v>1.7</v>
      </c>
      <c r="J44" s="958">
        <v>1.65</v>
      </c>
      <c r="K44" s="958">
        <v>1.6</v>
      </c>
      <c r="L44" s="958">
        <v>1.55</v>
      </c>
      <c r="M44" s="958">
        <v>1.5</v>
      </c>
      <c r="N44" s="959">
        <v>1.45</v>
      </c>
      <c r="O44" s="459" t="str">
        <f>'Service-based'!C8</f>
        <v># In-house MDR Workloads - Standard - Partner-level (Servers, VMs, Workstations, Hosting Servers)</v>
      </c>
    </row>
    <row r="45" spans="1:15" ht="14.45" customHeight="1">
      <c r="A45" s="801"/>
      <c r="B45" s="804"/>
      <c r="C45" s="805"/>
      <c r="D45" s="982" t="s">
        <v>258</v>
      </c>
      <c r="E45" s="961" t="s">
        <v>168</v>
      </c>
      <c r="F45" s="962" t="s">
        <v>259</v>
      </c>
      <c r="G45" s="252">
        <v>3.2</v>
      </c>
      <c r="H45" s="253">
        <v>3</v>
      </c>
      <c r="I45" s="254">
        <v>2.9</v>
      </c>
      <c r="J45" s="958">
        <v>2.8</v>
      </c>
      <c r="K45" s="958">
        <v>2.7</v>
      </c>
      <c r="L45" s="958">
        <v>2.6</v>
      </c>
      <c r="M45" s="958">
        <v>2.5</v>
      </c>
      <c r="N45" s="959">
        <v>2.4</v>
      </c>
      <c r="O45" s="459" t="str">
        <f>'Service-based'!C9</f>
        <v># In-house MDR Workloads - Advanced - Partner-level (Servers, VMs, Workstations, Hosting Servers)</v>
      </c>
    </row>
    <row r="46" spans="1:15" ht="14.45" customHeight="1">
      <c r="A46" s="801"/>
      <c r="B46" s="804"/>
      <c r="C46" s="805"/>
      <c r="D46" s="982" t="s">
        <v>260</v>
      </c>
      <c r="E46" s="961" t="s">
        <v>168</v>
      </c>
      <c r="F46" s="962" t="s">
        <v>261</v>
      </c>
      <c r="G46" s="358">
        <v>2.4</v>
      </c>
      <c r="H46" s="359">
        <v>2.2999999999999998</v>
      </c>
      <c r="I46" s="359">
        <v>2.2000000000000002</v>
      </c>
      <c r="J46" s="964">
        <v>2.15</v>
      </c>
      <c r="K46" s="964">
        <v>2.1</v>
      </c>
      <c r="L46" s="964">
        <v>2.0499999999999998</v>
      </c>
      <c r="M46" s="964">
        <v>2</v>
      </c>
      <c r="N46" s="965">
        <v>1.95</v>
      </c>
      <c r="O46" s="459" t="str">
        <f>'Service-based'!C10</f>
        <v># In-house MDR Workloads - Standard - Customer-level (Servers, VMs, Workstations, Hosting Servers)</v>
      </c>
    </row>
    <row r="47" spans="1:15" ht="14.45" customHeight="1">
      <c r="A47" s="801"/>
      <c r="B47" s="804"/>
      <c r="C47" s="805"/>
      <c r="D47" s="982" t="s">
        <v>262</v>
      </c>
      <c r="E47" s="961" t="s">
        <v>168</v>
      </c>
      <c r="F47" s="962" t="s">
        <v>263</v>
      </c>
      <c r="G47" s="358">
        <v>3.7</v>
      </c>
      <c r="H47" s="359">
        <v>3.5</v>
      </c>
      <c r="I47" s="359">
        <v>3.4</v>
      </c>
      <c r="J47" s="964">
        <v>3.3</v>
      </c>
      <c r="K47" s="964">
        <v>3.2</v>
      </c>
      <c r="L47" s="964">
        <v>3.1</v>
      </c>
      <c r="M47" s="964">
        <v>3</v>
      </c>
      <c r="N47" s="965">
        <v>2.9</v>
      </c>
      <c r="O47" s="459" t="str">
        <f>'Service-based'!C11</f>
        <v># In-house MDR Workloads - Advanced - Customer-level (Servers, VMs, Workstations, Hosting Servers)</v>
      </c>
    </row>
    <row r="48" spans="1:15" ht="18.600000000000001" customHeight="1">
      <c r="A48" s="801"/>
      <c r="B48" s="804"/>
      <c r="C48" s="805"/>
      <c r="D48" s="982" t="s">
        <v>264</v>
      </c>
      <c r="E48" s="961" t="s">
        <v>168</v>
      </c>
      <c r="F48" s="962" t="s">
        <v>265</v>
      </c>
      <c r="G48" s="181">
        <v>3.2</v>
      </c>
      <c r="H48" s="182">
        <v>3.1</v>
      </c>
      <c r="I48" s="182">
        <v>3</v>
      </c>
      <c r="J48" s="182">
        <v>2.9</v>
      </c>
      <c r="K48" s="182">
        <v>2.8</v>
      </c>
      <c r="L48" s="182">
        <v>2.78</v>
      </c>
      <c r="M48" s="182">
        <v>2.75</v>
      </c>
      <c r="N48" s="205">
        <v>2.69</v>
      </c>
      <c r="O48" s="459" t="str">
        <f>'Service-based'!C12</f>
        <v># 3rd Party MDR Workloads - Standard (Servers, VMs, Workstations, Hosting Servers)</v>
      </c>
    </row>
    <row r="49" spans="1:15" ht="18.600000000000001" customHeight="1">
      <c r="A49" s="801"/>
      <c r="B49" s="804"/>
      <c r="C49" s="805"/>
      <c r="D49" s="982" t="s">
        <v>266</v>
      </c>
      <c r="E49" s="961" t="s">
        <v>168</v>
      </c>
      <c r="F49" s="962" t="s">
        <v>267</v>
      </c>
      <c r="G49" s="203">
        <v>6.4</v>
      </c>
      <c r="H49" s="182">
        <v>6.2</v>
      </c>
      <c r="I49" s="182">
        <v>6</v>
      </c>
      <c r="J49" s="182">
        <v>5.8</v>
      </c>
      <c r="K49" s="182">
        <v>5.6</v>
      </c>
      <c r="L49" s="182">
        <v>5.55</v>
      </c>
      <c r="M49" s="182">
        <v>5.5</v>
      </c>
      <c r="N49" s="205">
        <v>5.37</v>
      </c>
      <c r="O49" s="459" t="str">
        <f>'Service-based'!C13</f>
        <v># 3rd Party MDR Workloads - Advanced (Servers, VMs, Workstations, Hosting Servers)</v>
      </c>
    </row>
    <row r="50" spans="1:15" ht="18.600000000000001" customHeight="1">
      <c r="A50" s="801"/>
      <c r="B50" s="804"/>
      <c r="C50" s="805"/>
      <c r="D50" s="983" t="s">
        <v>268</v>
      </c>
      <c r="E50" s="984" t="s">
        <v>168</v>
      </c>
      <c r="F50" s="985" t="s">
        <v>269</v>
      </c>
      <c r="G50" s="252">
        <v>1</v>
      </c>
      <c r="H50" s="253">
        <v>0.94</v>
      </c>
      <c r="I50" s="257">
        <v>0.89</v>
      </c>
      <c r="J50" s="257">
        <v>0.84</v>
      </c>
      <c r="K50" s="257">
        <v>0.76</v>
      </c>
      <c r="L50" s="257">
        <v>0.73</v>
      </c>
      <c r="M50" s="257">
        <v>0.69</v>
      </c>
      <c r="N50" s="258">
        <v>0.68</v>
      </c>
      <c r="O50" s="459" t="str">
        <f>'Service-based'!C14</f>
        <v># Gen AI Protection Workloads</v>
      </c>
    </row>
    <row r="51" spans="1:15" ht="18.95" customHeight="1">
      <c r="A51" s="801"/>
      <c r="B51" s="806"/>
      <c r="C51" s="807"/>
      <c r="D51" s="986" t="s">
        <v>270</v>
      </c>
      <c r="E51" s="968" t="s">
        <v>168</v>
      </c>
      <c r="F51" s="969" t="s">
        <v>271</v>
      </c>
      <c r="G51" s="206">
        <v>2.5</v>
      </c>
      <c r="H51" s="198">
        <v>2.33</v>
      </c>
      <c r="I51" s="198">
        <v>2.14</v>
      </c>
      <c r="J51" s="198">
        <v>1.93</v>
      </c>
      <c r="K51" s="198">
        <v>1.78</v>
      </c>
      <c r="L51" s="198">
        <v>1.71</v>
      </c>
      <c r="M51" s="198">
        <v>1.62</v>
      </c>
      <c r="N51" s="207">
        <v>1.59</v>
      </c>
      <c r="O51" s="459" t="str">
        <f>'Service-based'!C15</f>
        <v># Data Loss Prevention Workloads (Servers, VMs, Workstations, Hosting Servers)</v>
      </c>
    </row>
    <row r="52" spans="1:15" ht="14.45" customHeight="1">
      <c r="A52" s="801"/>
      <c r="B52" s="802" t="s">
        <v>272</v>
      </c>
      <c r="C52" s="803"/>
      <c r="D52" s="987" t="s">
        <v>273</v>
      </c>
      <c r="E52" s="956" t="s">
        <v>168</v>
      </c>
      <c r="F52" s="957" t="s">
        <v>274</v>
      </c>
      <c r="G52" s="203">
        <v>2.4</v>
      </c>
      <c r="H52" s="195">
        <v>2.33</v>
      </c>
      <c r="I52" s="195">
        <v>2.2599999999999998</v>
      </c>
      <c r="J52" s="195">
        <v>2.15</v>
      </c>
      <c r="K52" s="195">
        <v>2.04</v>
      </c>
      <c r="L52" s="195">
        <v>1.96</v>
      </c>
      <c r="M52" s="195">
        <v>1.88</v>
      </c>
      <c r="N52" s="196">
        <v>1.84</v>
      </c>
      <c r="O52" s="459" t="str">
        <f>'Service-based'!C16</f>
        <v># Email Security Users</v>
      </c>
    </row>
    <row r="53" spans="1:15" ht="17.100000000000001" customHeight="1">
      <c r="A53" s="801"/>
      <c r="B53" s="804"/>
      <c r="C53" s="805"/>
      <c r="D53" s="982" t="s">
        <v>275</v>
      </c>
      <c r="E53" s="961" t="s">
        <v>168</v>
      </c>
      <c r="F53" s="962" t="s">
        <v>276</v>
      </c>
      <c r="G53" s="181">
        <v>1.3</v>
      </c>
      <c r="H53" s="183">
        <v>1.26</v>
      </c>
      <c r="I53" s="183">
        <v>1.22</v>
      </c>
      <c r="J53" s="183">
        <v>1.1599999999999999</v>
      </c>
      <c r="K53" s="183">
        <v>1.1000000000000001</v>
      </c>
      <c r="L53" s="183">
        <v>1.06</v>
      </c>
      <c r="M53" s="183">
        <v>1.02</v>
      </c>
      <c r="N53" s="184">
        <v>1</v>
      </c>
      <c r="O53" s="459" t="str">
        <f>'Service-based'!C17</f>
        <v># Collaboration Security Users</v>
      </c>
    </row>
    <row r="54" spans="1:15" ht="17.100000000000001" customHeight="1">
      <c r="A54" s="801"/>
      <c r="B54" s="806"/>
      <c r="C54" s="807"/>
      <c r="D54" s="986" t="s">
        <v>277</v>
      </c>
      <c r="E54" s="968" t="s">
        <v>168</v>
      </c>
      <c r="F54" s="969" t="s">
        <v>278</v>
      </c>
      <c r="G54" s="206">
        <v>1.2</v>
      </c>
      <c r="H54" s="220">
        <v>1.1599999999999999</v>
      </c>
      <c r="I54" s="210">
        <v>1.1299999999999999</v>
      </c>
      <c r="J54" s="221">
        <v>1.07</v>
      </c>
      <c r="K54" s="221">
        <v>1.02</v>
      </c>
      <c r="L54" s="221">
        <v>0.98</v>
      </c>
      <c r="M54" s="221">
        <v>0.94</v>
      </c>
      <c r="N54" s="222">
        <v>0.92</v>
      </c>
      <c r="O54" s="459" t="str">
        <f>'Service-based'!C18</f>
        <v># SaaS Security Posture Management Workloads (Microsoft 365 Seats)</v>
      </c>
    </row>
    <row r="55" spans="1:15" ht="17.100000000000001" customHeight="1">
      <c r="A55" s="801"/>
      <c r="B55" s="821" t="s">
        <v>39</v>
      </c>
      <c r="C55" s="822"/>
      <c r="D55" s="223" t="s">
        <v>279</v>
      </c>
      <c r="E55" s="988" t="s">
        <v>168</v>
      </c>
      <c r="F55" s="989" t="s">
        <v>280</v>
      </c>
      <c r="G55" s="206">
        <v>1.4</v>
      </c>
      <c r="H55" s="210">
        <v>1.33</v>
      </c>
      <c r="I55" s="220">
        <v>1.24</v>
      </c>
      <c r="J55" s="221">
        <v>1.1200000000000001</v>
      </c>
      <c r="K55" s="221">
        <v>1.03</v>
      </c>
      <c r="L55" s="221">
        <v>0.99</v>
      </c>
      <c r="M55" s="221">
        <v>0.95</v>
      </c>
      <c r="N55" s="222">
        <v>0.93</v>
      </c>
      <c r="O55" s="459" t="str">
        <f>'Service-based'!C19</f>
        <v># Security Awareness Training (Users)</v>
      </c>
    </row>
    <row r="56" spans="1:15" ht="33.950000000000003" customHeight="1">
      <c r="A56" s="801"/>
      <c r="B56" s="802" t="s">
        <v>281</v>
      </c>
      <c r="C56" s="803"/>
      <c r="D56" s="313" t="s">
        <v>282</v>
      </c>
      <c r="E56" s="988" t="s">
        <v>168</v>
      </c>
      <c r="F56" s="989" t="s">
        <v>283</v>
      </c>
      <c r="G56" s="224">
        <v>1.9</v>
      </c>
      <c r="H56" s="225">
        <v>1.77</v>
      </c>
      <c r="I56" s="195">
        <v>1.56</v>
      </c>
      <c r="J56" s="226">
        <v>1.36</v>
      </c>
      <c r="K56" s="226">
        <v>1.1299999999999999</v>
      </c>
      <c r="L56" s="226">
        <v>1.08</v>
      </c>
      <c r="M56" s="226">
        <v>1.03</v>
      </c>
      <c r="N56" s="227">
        <v>1.01</v>
      </c>
      <c r="O56" s="460" t="str">
        <f>'Service-based'!C20</f>
        <v># Remote Monitoring and Management (RMM) Workloads (Servers, VMs, Workstations, Hosting Servers)</v>
      </c>
    </row>
    <row r="57" spans="1:15" ht="17.100000000000001" customHeight="1" thickBot="1">
      <c r="A57" s="801"/>
      <c r="B57" s="826" t="s">
        <v>284</v>
      </c>
      <c r="C57" s="827"/>
      <c r="D57" s="228" t="s">
        <v>285</v>
      </c>
      <c r="E57" s="966" t="s">
        <v>168</v>
      </c>
      <c r="F57" s="963" t="s">
        <v>286</v>
      </c>
      <c r="G57" s="339">
        <v>50</v>
      </c>
      <c r="H57" s="340">
        <v>48</v>
      </c>
      <c r="I57" s="336">
        <v>46</v>
      </c>
      <c r="J57" s="336">
        <v>44</v>
      </c>
      <c r="K57" s="336">
        <v>42</v>
      </c>
      <c r="L57" s="336">
        <v>41</v>
      </c>
      <c r="M57" s="336">
        <v>40</v>
      </c>
      <c r="N57" s="337">
        <v>39</v>
      </c>
      <c r="O57" s="459" t="str">
        <f>'Service-based'!C21</f>
        <v># Professional Services Automation (PSA) users (3 minimum)</v>
      </c>
    </row>
    <row r="58" spans="1:15" ht="15" customHeight="1">
      <c r="A58" s="801"/>
      <c r="B58" s="823" t="s">
        <v>104</v>
      </c>
      <c r="C58" s="813" t="s">
        <v>105</v>
      </c>
      <c r="D58" s="987" t="s">
        <v>287</v>
      </c>
      <c r="E58" s="956" t="s">
        <v>168</v>
      </c>
      <c r="F58" s="957" t="s">
        <v>288</v>
      </c>
      <c r="G58" s="203">
        <v>25</v>
      </c>
      <c r="H58" s="194">
        <v>22.75</v>
      </c>
      <c r="I58" s="194">
        <v>19.79</v>
      </c>
      <c r="J58" s="194">
        <v>17.61</v>
      </c>
      <c r="K58" s="194">
        <v>15.85</v>
      </c>
      <c r="L58" s="194">
        <v>15.22</v>
      </c>
      <c r="M58" s="194">
        <v>14.61</v>
      </c>
      <c r="N58" s="204">
        <v>14.03</v>
      </c>
      <c r="O58" s="459" t="str">
        <f>'Service-based'!C22</f>
        <v># Physical Servers</v>
      </c>
    </row>
    <row r="59" spans="1:15" ht="14.45" customHeight="1">
      <c r="A59" s="801"/>
      <c r="B59" s="823"/>
      <c r="C59" s="798"/>
      <c r="D59" s="981" t="s">
        <v>289</v>
      </c>
      <c r="E59" s="961" t="s">
        <v>168</v>
      </c>
      <c r="F59" s="962" t="s">
        <v>290</v>
      </c>
      <c r="G59" s="181">
        <v>17</v>
      </c>
      <c r="H59" s="182">
        <v>15.47</v>
      </c>
      <c r="I59" s="182">
        <v>13.46</v>
      </c>
      <c r="J59" s="182">
        <v>11.98</v>
      </c>
      <c r="K59" s="182">
        <v>10.78</v>
      </c>
      <c r="L59" s="182">
        <v>10.35</v>
      </c>
      <c r="M59" s="182">
        <v>9.94</v>
      </c>
      <c r="N59" s="205">
        <v>9.5399999999999991</v>
      </c>
      <c r="O59" s="459" t="str">
        <f>'Service-based'!C23</f>
        <v># Network Attached Storage</v>
      </c>
    </row>
    <row r="60" spans="1:15" ht="14.45" customHeight="1">
      <c r="A60" s="801"/>
      <c r="B60" s="823"/>
      <c r="C60" s="798"/>
      <c r="D60" s="982" t="s">
        <v>291</v>
      </c>
      <c r="E60" s="961" t="s">
        <v>168</v>
      </c>
      <c r="F60" s="962" t="s">
        <v>292</v>
      </c>
      <c r="G60" s="181">
        <v>8.8000000000000007</v>
      </c>
      <c r="H60" s="182">
        <v>8.01</v>
      </c>
      <c r="I60" s="182">
        <v>6.97</v>
      </c>
      <c r="J60" s="182">
        <v>6.2</v>
      </c>
      <c r="K60" s="182">
        <v>5.58</v>
      </c>
      <c r="L60" s="182">
        <v>5.36</v>
      </c>
      <c r="M60" s="182">
        <v>5.15</v>
      </c>
      <c r="N60" s="205">
        <v>4.9400000000000004</v>
      </c>
      <c r="O60" s="459" t="str">
        <f>'Service-based'!C24</f>
        <v># Virtual Machines</v>
      </c>
    </row>
    <row r="61" spans="1:15" ht="14.45" customHeight="1">
      <c r="A61" s="801"/>
      <c r="B61" s="823"/>
      <c r="C61" s="798"/>
      <c r="D61" s="982" t="s">
        <v>293</v>
      </c>
      <c r="E61" s="961" t="s">
        <v>168</v>
      </c>
      <c r="F61" s="962" t="s">
        <v>294</v>
      </c>
      <c r="G61" s="181">
        <v>4.0999999999999996</v>
      </c>
      <c r="H61" s="182">
        <v>3.73</v>
      </c>
      <c r="I61" s="182">
        <v>3.25</v>
      </c>
      <c r="J61" s="182">
        <v>2.89</v>
      </c>
      <c r="K61" s="182">
        <v>2.6</v>
      </c>
      <c r="L61" s="182">
        <v>2.5</v>
      </c>
      <c r="M61" s="182">
        <v>2.4</v>
      </c>
      <c r="N61" s="205">
        <v>2.2999999999999998</v>
      </c>
      <c r="O61" s="459" t="str">
        <f>'Service-based'!C25</f>
        <v># Workstations</v>
      </c>
    </row>
    <row r="62" spans="1:15" ht="14.45" customHeight="1">
      <c r="A62" s="801"/>
      <c r="B62" s="823"/>
      <c r="C62" s="798"/>
      <c r="D62" s="982" t="s">
        <v>295</v>
      </c>
      <c r="E62" s="961" t="s">
        <v>168</v>
      </c>
      <c r="F62" s="962" t="s">
        <v>296</v>
      </c>
      <c r="G62" s="181">
        <v>4.5</v>
      </c>
      <c r="H62" s="182">
        <v>4.0999999999999996</v>
      </c>
      <c r="I62" s="182">
        <v>3.57</v>
      </c>
      <c r="J62" s="182">
        <v>3.18</v>
      </c>
      <c r="K62" s="182">
        <v>2.86</v>
      </c>
      <c r="L62" s="182">
        <v>2.75</v>
      </c>
      <c r="M62" s="182">
        <v>2.64</v>
      </c>
      <c r="N62" s="205">
        <v>2.5299999999999998</v>
      </c>
      <c r="O62" s="459" t="str">
        <f>'Service-based'!C26</f>
        <v># Hosting Servers</v>
      </c>
    </row>
    <row r="63" spans="1:15" ht="14.45" customHeight="1">
      <c r="A63" s="801"/>
      <c r="B63" s="823"/>
      <c r="C63" s="798"/>
      <c r="D63" s="360" t="s">
        <v>297</v>
      </c>
      <c r="E63" s="961" t="s">
        <v>6</v>
      </c>
      <c r="F63" s="962" t="s">
        <v>298</v>
      </c>
      <c r="G63" s="181">
        <v>2.4</v>
      </c>
      <c r="H63" s="182">
        <v>2.2799999999999998</v>
      </c>
      <c r="I63" s="182">
        <v>2.12</v>
      </c>
      <c r="J63" s="182">
        <v>1.91</v>
      </c>
      <c r="K63" s="182">
        <v>1.76</v>
      </c>
      <c r="L63" s="182">
        <v>1.69</v>
      </c>
      <c r="M63" s="182">
        <v>1.62</v>
      </c>
      <c r="N63" s="205">
        <v>1.59</v>
      </c>
      <c r="O63" s="459" t="str">
        <f>'Service-based'!C27</f>
        <v># Microsoft 365 Seats (unlimited Acronis Hosted Cloud Storage included*)</v>
      </c>
    </row>
    <row r="64" spans="1:15" ht="14.45" customHeight="1">
      <c r="A64" s="801"/>
      <c r="B64" s="823"/>
      <c r="C64" s="798"/>
      <c r="D64" s="360" t="s">
        <v>299</v>
      </c>
      <c r="E64" s="961" t="s">
        <v>190</v>
      </c>
      <c r="F64" s="962" t="s">
        <v>300</v>
      </c>
      <c r="G64" s="181">
        <v>3.22</v>
      </c>
      <c r="H64" s="182">
        <v>3.06</v>
      </c>
      <c r="I64" s="182">
        <v>2.85</v>
      </c>
      <c r="J64" s="182">
        <v>2.57</v>
      </c>
      <c r="K64" s="182">
        <v>2.36</v>
      </c>
      <c r="L64" s="182">
        <v>2.27</v>
      </c>
      <c r="M64" s="182">
        <v>2.1800000000000002</v>
      </c>
      <c r="N64" s="205">
        <v>2.14</v>
      </c>
      <c r="O64" s="464" t="str">
        <f>'Service-based'!C27</f>
        <v># Microsoft 365 Seats (unlimited Acronis Hosted Cloud Storage included*)</v>
      </c>
    </row>
    <row r="65" spans="1:15" ht="14.45" customHeight="1">
      <c r="A65" s="801"/>
      <c r="B65" s="823"/>
      <c r="C65" s="798"/>
      <c r="D65" s="233" t="s">
        <v>301</v>
      </c>
      <c r="E65" s="961" t="s">
        <v>168</v>
      </c>
      <c r="F65" s="962" t="s">
        <v>302</v>
      </c>
      <c r="G65" s="181">
        <v>1.45</v>
      </c>
      <c r="H65" s="182">
        <v>1.35</v>
      </c>
      <c r="I65" s="182">
        <v>1.24</v>
      </c>
      <c r="J65" s="182">
        <v>1.05</v>
      </c>
      <c r="K65" s="182">
        <v>0.86</v>
      </c>
      <c r="L65" s="182">
        <v>0.79</v>
      </c>
      <c r="M65" s="182">
        <v>0.751</v>
      </c>
      <c r="N65" s="205">
        <v>0.73599999999999999</v>
      </c>
      <c r="O65" s="459" t="str">
        <f>'Service-based'!C28</f>
        <v># Microsoft 365 Seats (for SP/Customer/Azure/Google Hosted Storage)</v>
      </c>
    </row>
    <row r="66" spans="1:15" ht="14.45" customHeight="1">
      <c r="A66" s="801"/>
      <c r="B66" s="823"/>
      <c r="C66" s="798"/>
      <c r="D66" s="233" t="s">
        <v>303</v>
      </c>
      <c r="E66" s="961" t="s">
        <v>168</v>
      </c>
      <c r="F66" s="962" t="s">
        <v>304</v>
      </c>
      <c r="G66" s="181">
        <v>0.6</v>
      </c>
      <c r="H66" s="182">
        <v>0.56999999999999995</v>
      </c>
      <c r="I66" s="182">
        <v>0.53</v>
      </c>
      <c r="J66" s="182">
        <v>0.49</v>
      </c>
      <c r="K66" s="182">
        <v>0.45</v>
      </c>
      <c r="L66" s="182">
        <v>0.43</v>
      </c>
      <c r="M66" s="182">
        <v>0.41</v>
      </c>
      <c r="N66" s="205">
        <v>0.4</v>
      </c>
      <c r="O66" s="459" t="str">
        <f>'Service-based'!C29</f>
        <v># Entra ID Seats (unlimited Acronis Hosted Cloud Storage included*)</v>
      </c>
    </row>
    <row r="67" spans="1:15" ht="14.45" customHeight="1">
      <c r="A67" s="801"/>
      <c r="B67" s="823"/>
      <c r="C67" s="798"/>
      <c r="D67" s="233" t="s">
        <v>305</v>
      </c>
      <c r="E67" s="961" t="s">
        <v>168</v>
      </c>
      <c r="F67" s="962" t="s">
        <v>306</v>
      </c>
      <c r="G67" s="181">
        <v>0.36</v>
      </c>
      <c r="H67" s="182">
        <v>0.34</v>
      </c>
      <c r="I67" s="182">
        <v>0.31</v>
      </c>
      <c r="J67" s="182">
        <v>0.27</v>
      </c>
      <c r="K67" s="182">
        <v>0.23</v>
      </c>
      <c r="L67" s="182">
        <v>0.21</v>
      </c>
      <c r="M67" s="182">
        <v>0.2</v>
      </c>
      <c r="N67" s="205">
        <v>0.19</v>
      </c>
      <c r="O67" s="459" t="str">
        <f>'Service-based'!C30</f>
        <v># Entra ID Seats (for SP/Azure/Google Hosted Storage)</v>
      </c>
    </row>
    <row r="68" spans="1:15" ht="14.45" customHeight="1">
      <c r="A68" s="801"/>
      <c r="B68" s="823"/>
      <c r="C68" s="798"/>
      <c r="D68" s="990" t="s">
        <v>307</v>
      </c>
      <c r="E68" s="961" t="s">
        <v>6</v>
      </c>
      <c r="F68" s="962" t="s">
        <v>308</v>
      </c>
      <c r="G68" s="181">
        <v>2.4</v>
      </c>
      <c r="H68" s="182">
        <v>2.2799999999999998</v>
      </c>
      <c r="I68" s="182">
        <v>2.12</v>
      </c>
      <c r="J68" s="182">
        <v>1.91</v>
      </c>
      <c r="K68" s="182">
        <v>1.76</v>
      </c>
      <c r="L68" s="182">
        <v>1.69</v>
      </c>
      <c r="M68" s="182">
        <v>1.62</v>
      </c>
      <c r="N68" s="205">
        <v>1.59</v>
      </c>
      <c r="O68" s="459" t="str">
        <f>'Service-based'!C31</f>
        <v># Google Workspace Seats (unlimited Acronis Hosted Cloud Storage included*)</v>
      </c>
    </row>
    <row r="69" spans="1:15" ht="14.45" customHeight="1">
      <c r="A69" s="801"/>
      <c r="B69" s="823"/>
      <c r="C69" s="798"/>
      <c r="D69" s="990" t="s">
        <v>309</v>
      </c>
      <c r="E69" s="961" t="s">
        <v>190</v>
      </c>
      <c r="F69" s="962" t="s">
        <v>310</v>
      </c>
      <c r="G69" s="181">
        <v>3.22</v>
      </c>
      <c r="H69" s="182">
        <v>3.06</v>
      </c>
      <c r="I69" s="182">
        <v>2.85</v>
      </c>
      <c r="J69" s="182">
        <v>2.57</v>
      </c>
      <c r="K69" s="182">
        <v>2.36</v>
      </c>
      <c r="L69" s="182">
        <v>2.27</v>
      </c>
      <c r="M69" s="182">
        <v>2.1800000000000002</v>
      </c>
      <c r="N69" s="205">
        <v>2.14</v>
      </c>
      <c r="O69" s="464" t="str">
        <f>'Service-based'!C31</f>
        <v># Google Workspace Seats (unlimited Acronis Hosted Cloud Storage included*)</v>
      </c>
    </row>
    <row r="70" spans="1:15" ht="14.45" customHeight="1">
      <c r="A70" s="801"/>
      <c r="B70" s="823"/>
      <c r="C70" s="798"/>
      <c r="D70" s="982" t="s">
        <v>311</v>
      </c>
      <c r="E70" s="961" t="s">
        <v>168</v>
      </c>
      <c r="F70" s="962" t="s">
        <v>312</v>
      </c>
      <c r="G70" s="181">
        <v>1.45</v>
      </c>
      <c r="H70" s="182">
        <v>1.35</v>
      </c>
      <c r="I70" s="182">
        <v>1.24</v>
      </c>
      <c r="J70" s="182">
        <v>1.05</v>
      </c>
      <c r="K70" s="182">
        <v>0.86</v>
      </c>
      <c r="L70" s="182">
        <v>0.79</v>
      </c>
      <c r="M70" s="182">
        <v>0.751</v>
      </c>
      <c r="N70" s="205">
        <v>0.73599999999999999</v>
      </c>
      <c r="O70" s="459" t="str">
        <f>'Service-based'!C32</f>
        <v># Google Workspace Seats (for SP/Azure/Google Hosted Storage)</v>
      </c>
    </row>
    <row r="71" spans="1:15" ht="14.45" customHeight="1">
      <c r="A71" s="801"/>
      <c r="B71" s="823"/>
      <c r="C71" s="798"/>
      <c r="D71" s="982" t="s">
        <v>313</v>
      </c>
      <c r="E71" s="961" t="s">
        <v>168</v>
      </c>
      <c r="F71" s="962" t="s">
        <v>314</v>
      </c>
      <c r="G71" s="181">
        <v>1</v>
      </c>
      <c r="H71" s="182">
        <v>0.92</v>
      </c>
      <c r="I71" s="182">
        <v>0.83</v>
      </c>
      <c r="J71" s="182">
        <v>0.68</v>
      </c>
      <c r="K71" s="182">
        <v>0.56000000000000005</v>
      </c>
      <c r="L71" s="182">
        <v>0.54</v>
      </c>
      <c r="M71" s="182">
        <v>0.52</v>
      </c>
      <c r="N71" s="205">
        <v>0.5</v>
      </c>
      <c r="O71" s="459" t="str">
        <f>'Service-based'!C33</f>
        <v># Mobile Devices</v>
      </c>
    </row>
    <row r="72" spans="1:15" ht="14.45" customHeight="1">
      <c r="A72" s="801"/>
      <c r="B72" s="823"/>
      <c r="C72" s="798"/>
      <c r="D72" s="982" t="s">
        <v>315</v>
      </c>
      <c r="E72" s="961" t="s">
        <v>6</v>
      </c>
      <c r="F72" s="962" t="s">
        <v>316</v>
      </c>
      <c r="G72" s="181">
        <v>4.3499999999999997E-2</v>
      </c>
      <c r="H72" s="182">
        <v>3.8699999999999998E-2</v>
      </c>
      <c r="I72" s="182">
        <v>3.4099999999999998E-2</v>
      </c>
      <c r="J72" s="182">
        <v>2.86E-2</v>
      </c>
      <c r="K72" s="182">
        <v>2.3199999999999998E-2</v>
      </c>
      <c r="L72" s="182">
        <v>2.18E-2</v>
      </c>
      <c r="M72" s="182">
        <v>2.0899999999999998E-2</v>
      </c>
      <c r="N72" s="205">
        <v>2.0299999999999999E-2</v>
      </c>
      <c r="O72" s="459" t="str">
        <f>'Service-based'!C34</f>
        <v>Acronis Cloud Storage at Acronis Datacenter (for Per Workload model)</v>
      </c>
    </row>
    <row r="73" spans="1:15" ht="14.45" customHeight="1">
      <c r="A73" s="801"/>
      <c r="B73" s="823"/>
      <c r="C73" s="798"/>
      <c r="D73" s="982" t="s">
        <v>317</v>
      </c>
      <c r="E73" s="961" t="s">
        <v>190</v>
      </c>
      <c r="F73" s="962" t="s">
        <v>318</v>
      </c>
      <c r="G73" s="181">
        <v>5.4600000000000003E-2</v>
      </c>
      <c r="H73" s="182">
        <v>4.8599999999999997E-2</v>
      </c>
      <c r="I73" s="182">
        <v>4.2799999999999998E-2</v>
      </c>
      <c r="J73" s="182">
        <v>3.5999999999999997E-2</v>
      </c>
      <c r="K73" s="182">
        <v>2.92E-2</v>
      </c>
      <c r="L73" s="182">
        <v>2.7400000000000001E-2</v>
      </c>
      <c r="M73" s="182">
        <v>2.63E-2</v>
      </c>
      <c r="N73" s="205">
        <v>2.58E-2</v>
      </c>
      <c r="O73" s="464" t="str">
        <f>'Service-based'!C34</f>
        <v>Acronis Cloud Storage at Acronis Datacenter (for Per Workload model)</v>
      </c>
    </row>
    <row r="74" spans="1:15" ht="14.45" customHeight="1">
      <c r="A74" s="801"/>
      <c r="B74" s="823"/>
      <c r="C74" s="798"/>
      <c r="D74" s="982" t="s">
        <v>319</v>
      </c>
      <c r="E74" s="961" t="s">
        <v>168</v>
      </c>
      <c r="F74" s="962" t="s">
        <v>320</v>
      </c>
      <c r="G74" s="181">
        <v>0.05</v>
      </c>
      <c r="H74" s="182">
        <v>4.7500000000000001E-2</v>
      </c>
      <c r="I74" s="182">
        <v>4.4200000000000003E-2</v>
      </c>
      <c r="J74" s="182">
        <v>3.9800000000000002E-2</v>
      </c>
      <c r="K74" s="182">
        <v>3.6600000000000001E-2</v>
      </c>
      <c r="L74" s="182">
        <v>3.5099999999999999E-2</v>
      </c>
      <c r="M74" s="182">
        <v>3.3700000000000001E-2</v>
      </c>
      <c r="N74" s="411">
        <v>3.3000000000000002E-2</v>
      </c>
      <c r="O74" s="459" t="str">
        <f>'Service-based'!C35</f>
        <v>Acronis Cloud Storage at Azure/Google datacenters (for Per Workload model)</v>
      </c>
    </row>
    <row r="75" spans="1:15" ht="14.45" customHeight="1">
      <c r="A75" s="801"/>
      <c r="B75" s="823"/>
      <c r="C75" s="814"/>
      <c r="D75" s="991" t="s">
        <v>321</v>
      </c>
      <c r="E75" s="968" t="s">
        <v>168</v>
      </c>
      <c r="F75" s="969" t="s">
        <v>322</v>
      </c>
      <c r="G75" s="197">
        <v>0.05</v>
      </c>
      <c r="H75" s="198">
        <v>4.7500000000000001E-2</v>
      </c>
      <c r="I75" s="198">
        <v>4.4200000000000003E-2</v>
      </c>
      <c r="J75" s="198">
        <v>3.9800000000000002E-2</v>
      </c>
      <c r="K75" s="198">
        <v>3.6600000000000001E-2</v>
      </c>
      <c r="L75" s="198">
        <v>3.5099999999999999E-2</v>
      </c>
      <c r="M75" s="198">
        <v>3.3700000000000001E-2</v>
      </c>
      <c r="N75" s="207">
        <v>3.3000000000000002E-2</v>
      </c>
      <c r="O75" s="460"/>
    </row>
    <row r="76" spans="1:15" ht="15" customHeight="1">
      <c r="A76" s="801"/>
      <c r="B76" s="823"/>
      <c r="C76" s="786" t="s">
        <v>120</v>
      </c>
      <c r="D76" s="960" t="s">
        <v>323</v>
      </c>
      <c r="E76" s="966" t="s">
        <v>6</v>
      </c>
      <c r="F76" s="963" t="s">
        <v>324</v>
      </c>
      <c r="G76" s="489">
        <v>0.13</v>
      </c>
      <c r="H76" s="243">
        <v>0.1157</v>
      </c>
      <c r="I76" s="218">
        <v>0.1018</v>
      </c>
      <c r="J76" s="195">
        <v>8.9599999999999999E-2</v>
      </c>
      <c r="K76" s="195">
        <v>8.3299999999999999E-2</v>
      </c>
      <c r="L76" s="195">
        <v>0.08</v>
      </c>
      <c r="M76" s="195">
        <v>7.6799999999999993E-2</v>
      </c>
      <c r="N76" s="196">
        <v>7.4499999999999997E-2</v>
      </c>
      <c r="O76" s="459" t="str">
        <f>'Service-based'!C36</f>
        <v>Acronis Cloud Storage at Acronis Datacenter (for Per GB model)</v>
      </c>
    </row>
    <row r="77" spans="1:15" ht="15" customHeight="1">
      <c r="A77" s="801"/>
      <c r="B77" s="823"/>
      <c r="C77" s="786"/>
      <c r="D77" s="960" t="s">
        <v>325</v>
      </c>
      <c r="E77" s="961" t="s">
        <v>190</v>
      </c>
      <c r="F77" s="962" t="s">
        <v>326</v>
      </c>
      <c r="G77" s="229">
        <v>0.14000000000000001</v>
      </c>
      <c r="H77" s="230">
        <v>0.1246</v>
      </c>
      <c r="I77" s="231">
        <v>0.1096</v>
      </c>
      <c r="J77" s="183">
        <v>9.64E-2</v>
      </c>
      <c r="K77" s="183">
        <v>8.6800000000000002E-2</v>
      </c>
      <c r="L77" s="183">
        <v>8.3299999999999999E-2</v>
      </c>
      <c r="M77" s="183">
        <v>0.08</v>
      </c>
      <c r="N77" s="184">
        <v>7.7600000000000002E-2</v>
      </c>
      <c r="O77" s="464" t="str">
        <f>'Service-based'!C36</f>
        <v>Acronis Cloud Storage at Acronis Datacenter (for Per GB model)</v>
      </c>
    </row>
    <row r="78" spans="1:15" ht="15" customHeight="1">
      <c r="A78" s="801"/>
      <c r="B78" s="823"/>
      <c r="C78" s="786"/>
      <c r="D78" s="992" t="s">
        <v>327</v>
      </c>
      <c r="E78" s="961" t="s">
        <v>168</v>
      </c>
      <c r="F78" s="962" t="s">
        <v>328</v>
      </c>
      <c r="G78" s="181">
        <v>0.13500000000000001</v>
      </c>
      <c r="H78" s="182">
        <v>0.1283</v>
      </c>
      <c r="I78" s="183">
        <v>0.1193</v>
      </c>
      <c r="J78" s="231">
        <v>0.1074</v>
      </c>
      <c r="K78" s="231">
        <v>9.8799999999999999E-2</v>
      </c>
      <c r="L78" s="231">
        <v>9.4799999999999995E-2</v>
      </c>
      <c r="M78" s="231">
        <v>9.0999999999999998E-2</v>
      </c>
      <c r="N78" s="232">
        <v>8.9200000000000002E-2</v>
      </c>
      <c r="O78" s="459" t="str">
        <f>'Service-based'!C37</f>
        <v>Acronis Cloud Storage at Azure/Google datacenters (for Per GB model)</v>
      </c>
    </row>
    <row r="79" spans="1:15" ht="15" customHeight="1">
      <c r="A79" s="801"/>
      <c r="B79" s="823"/>
      <c r="C79" s="786"/>
      <c r="D79" s="992" t="s">
        <v>329</v>
      </c>
      <c r="E79" s="961" t="s">
        <v>168</v>
      </c>
      <c r="F79" s="962" t="s">
        <v>330</v>
      </c>
      <c r="G79" s="181">
        <v>0.13500000000000001</v>
      </c>
      <c r="H79" s="182">
        <v>0.1283</v>
      </c>
      <c r="I79" s="183">
        <v>0.1193</v>
      </c>
      <c r="J79" s="231">
        <v>0.1074</v>
      </c>
      <c r="K79" s="231">
        <v>9.8799999999999999E-2</v>
      </c>
      <c r="L79" s="231">
        <v>9.4799999999999995E-2</v>
      </c>
      <c r="M79" s="231">
        <v>9.0999999999999998E-2</v>
      </c>
      <c r="N79" s="232">
        <v>8.9200000000000002E-2</v>
      </c>
      <c r="O79" s="459"/>
    </row>
    <row r="80" spans="1:15" ht="14.45" customHeight="1">
      <c r="A80" s="801"/>
      <c r="B80" s="823"/>
      <c r="C80" s="786"/>
      <c r="D80" s="259" t="s">
        <v>331</v>
      </c>
      <c r="E80" s="961" t="s">
        <v>168</v>
      </c>
      <c r="F80" s="962" t="s">
        <v>332</v>
      </c>
      <c r="G80" s="229">
        <v>7.6999999999999999E-2</v>
      </c>
      <c r="H80" s="230">
        <v>6.8500000000000005E-2</v>
      </c>
      <c r="I80" s="231">
        <v>6.0299999999999999E-2</v>
      </c>
      <c r="J80" s="231">
        <v>5.3100000000000001E-2</v>
      </c>
      <c r="K80" s="231">
        <v>4.7800000000000002E-2</v>
      </c>
      <c r="L80" s="231">
        <v>4.5900000000000003E-2</v>
      </c>
      <c r="M80" s="231">
        <v>4.41E-2</v>
      </c>
      <c r="N80" s="232">
        <v>4.2799999999999998E-2</v>
      </c>
      <c r="O80" s="459" t="str">
        <f>'Service-based'!C38</f>
        <v>Cloud - Service Provider Hosted Storage</v>
      </c>
    </row>
    <row r="81" spans="1:15" ht="14.45" customHeight="1">
      <c r="A81" s="801"/>
      <c r="B81" s="823"/>
      <c r="C81" s="787"/>
      <c r="D81" s="970" t="s">
        <v>333</v>
      </c>
      <c r="E81" s="968" t="s">
        <v>168</v>
      </c>
      <c r="F81" s="969" t="s">
        <v>334</v>
      </c>
      <c r="G81" s="197">
        <v>6.5000000000000002E-2</v>
      </c>
      <c r="H81" s="198">
        <v>5.79E-2</v>
      </c>
      <c r="I81" s="199">
        <v>5.0999999999999997E-2</v>
      </c>
      <c r="J81" s="266">
        <v>4.4900000000000002E-2</v>
      </c>
      <c r="K81" s="266">
        <v>4.0399999999999998E-2</v>
      </c>
      <c r="L81" s="266">
        <v>3.8800000000000001E-2</v>
      </c>
      <c r="M81" s="266">
        <v>3.7199999999999997E-2</v>
      </c>
      <c r="N81" s="326">
        <v>3.61E-2</v>
      </c>
      <c r="O81" s="459" t="str">
        <f>'Service-based'!C39</f>
        <v>Customer Storage</v>
      </c>
    </row>
    <row r="82" spans="1:15" ht="31.5" customHeight="1">
      <c r="A82" s="801"/>
      <c r="B82" s="823"/>
      <c r="C82" s="314" t="s">
        <v>335</v>
      </c>
      <c r="D82" s="993" t="s">
        <v>336</v>
      </c>
      <c r="E82" s="971" t="s">
        <v>168</v>
      </c>
      <c r="F82" s="972" t="s">
        <v>337</v>
      </c>
      <c r="G82" s="327">
        <v>0.124</v>
      </c>
      <c r="H82" s="328">
        <v>0.1178</v>
      </c>
      <c r="I82" s="221">
        <v>0.1096</v>
      </c>
      <c r="J82" s="221">
        <v>9.8599999999999993E-2</v>
      </c>
      <c r="K82" s="221">
        <v>9.0700000000000003E-2</v>
      </c>
      <c r="L82" s="221">
        <v>8.7099999999999997E-2</v>
      </c>
      <c r="M82" s="221">
        <v>8.3599999999999994E-2</v>
      </c>
      <c r="N82" s="222">
        <v>8.1900000000000001E-2</v>
      </c>
      <c r="O82" s="459" t="str">
        <f>'Service-based'!C40</f>
        <v>Microsoft 365 Backup Storage powered by Microsoft (per GB, for both per GB and per workload models)</v>
      </c>
    </row>
    <row r="83" spans="1:15" ht="14.45" customHeight="1">
      <c r="A83" s="801"/>
      <c r="B83" s="823"/>
      <c r="C83" s="828" t="s">
        <v>44</v>
      </c>
      <c r="D83" s="994" t="s">
        <v>338</v>
      </c>
      <c r="E83" s="956" t="s">
        <v>6</v>
      </c>
      <c r="F83" s="957" t="s">
        <v>339</v>
      </c>
      <c r="G83" s="189">
        <v>3.2500000000000001E-2</v>
      </c>
      <c r="H83" s="208">
        <v>2.8899999999999999E-2</v>
      </c>
      <c r="I83" s="208">
        <v>2.5399999999999999E-2</v>
      </c>
      <c r="J83" s="208">
        <v>2.1600000000000001E-2</v>
      </c>
      <c r="K83" s="208">
        <v>1.77E-2</v>
      </c>
      <c r="L83" s="208">
        <v>1.66E-2</v>
      </c>
      <c r="M83" s="208">
        <v>1.5900000000000001E-2</v>
      </c>
      <c r="N83" s="209">
        <v>1.54E-2</v>
      </c>
      <c r="O83" s="459" t="str">
        <f>'Service-based'!C41</f>
        <v>Per GB/Workload model - Backup Geo-redundant - Acronis Hosted Storage</v>
      </c>
    </row>
    <row r="84" spans="1:15" ht="14.45" customHeight="1">
      <c r="A84" s="801"/>
      <c r="B84" s="823"/>
      <c r="C84" s="829"/>
      <c r="D84" s="995" t="s">
        <v>340</v>
      </c>
      <c r="E84" s="966" t="s">
        <v>6</v>
      </c>
      <c r="F84" s="962" t="s">
        <v>341</v>
      </c>
      <c r="G84" s="181">
        <v>1.73</v>
      </c>
      <c r="H84" s="182">
        <v>1.64</v>
      </c>
      <c r="I84" s="182">
        <v>1.53</v>
      </c>
      <c r="J84" s="182">
        <v>1.38</v>
      </c>
      <c r="K84" s="182">
        <v>1.27</v>
      </c>
      <c r="L84" s="182">
        <v>1.22</v>
      </c>
      <c r="M84" s="182">
        <v>1.17</v>
      </c>
      <c r="N84" s="205">
        <v>1.1499999999999999</v>
      </c>
      <c r="O84" s="459" t="str">
        <f>'Service-based'!C42</f>
        <v>Per Workload model - # Geo-redundant Microsoft 365 seat (unlimited Acronis Hosted Cloud Storage included*)</v>
      </c>
    </row>
    <row r="85" spans="1:15" ht="14.45" customHeight="1">
      <c r="A85" s="801"/>
      <c r="B85" s="823"/>
      <c r="C85" s="830"/>
      <c r="D85" s="996" t="s">
        <v>342</v>
      </c>
      <c r="E85" s="971" t="s">
        <v>6</v>
      </c>
      <c r="F85" s="969" t="s">
        <v>343</v>
      </c>
      <c r="G85" s="197">
        <v>1.73</v>
      </c>
      <c r="H85" s="198">
        <v>1.64</v>
      </c>
      <c r="I85" s="198">
        <v>1.53</v>
      </c>
      <c r="J85" s="198">
        <v>1.38</v>
      </c>
      <c r="K85" s="198">
        <v>1.27</v>
      </c>
      <c r="L85" s="198">
        <v>1.22</v>
      </c>
      <c r="M85" s="198">
        <v>1.17</v>
      </c>
      <c r="N85" s="207">
        <v>1.1499999999999999</v>
      </c>
      <c r="O85" s="459" t="str">
        <f>'Service-based'!C43</f>
        <v>Per Workload model - # Geo-redundant Google Workspace seat (unlimited Acronis Hosted Cloud Storage included*)</v>
      </c>
    </row>
    <row r="86" spans="1:15" ht="14.45" customHeight="1">
      <c r="A86" s="801"/>
      <c r="B86" s="823"/>
      <c r="C86" s="824" t="s">
        <v>131</v>
      </c>
      <c r="D86" s="981" t="s">
        <v>344</v>
      </c>
      <c r="E86" s="966" t="s">
        <v>168</v>
      </c>
      <c r="F86" s="963" t="s">
        <v>345</v>
      </c>
      <c r="G86" s="203">
        <v>12</v>
      </c>
      <c r="H86" s="194">
        <v>10.68</v>
      </c>
      <c r="I86" s="194">
        <v>9.18</v>
      </c>
      <c r="J86" s="194">
        <v>7.89</v>
      </c>
      <c r="K86" s="194">
        <v>7.1</v>
      </c>
      <c r="L86" s="194">
        <v>6.82</v>
      </c>
      <c r="M86" s="194">
        <v>6.55</v>
      </c>
      <c r="N86" s="204">
        <v>6.35</v>
      </c>
      <c r="O86" s="459" t="str">
        <f>'Service-based'!C44</f>
        <v># Direct Backup to Public Cloud, Physical Servers</v>
      </c>
    </row>
    <row r="87" spans="1:15" ht="14.45" customHeight="1">
      <c r="A87" s="801"/>
      <c r="B87" s="823"/>
      <c r="C87" s="824"/>
      <c r="D87" s="982" t="s">
        <v>346</v>
      </c>
      <c r="E87" s="961" t="s">
        <v>168</v>
      </c>
      <c r="F87" s="962" t="s">
        <v>347</v>
      </c>
      <c r="G87" s="181">
        <v>4.8</v>
      </c>
      <c r="H87" s="182">
        <v>4.2699999999999996</v>
      </c>
      <c r="I87" s="182">
        <v>3.67</v>
      </c>
      <c r="J87" s="182">
        <v>3.16</v>
      </c>
      <c r="K87" s="182">
        <v>2.84</v>
      </c>
      <c r="L87" s="182">
        <v>2.73</v>
      </c>
      <c r="M87" s="182">
        <v>2.62</v>
      </c>
      <c r="N87" s="205">
        <v>2.54</v>
      </c>
      <c r="O87" s="459" t="str">
        <f>'Service-based'!C45</f>
        <v># Direct Backup to Public Cloud, Virtual Machines</v>
      </c>
    </row>
    <row r="88" spans="1:15" ht="14.45" customHeight="1">
      <c r="A88" s="801"/>
      <c r="B88" s="823"/>
      <c r="C88" s="824"/>
      <c r="D88" s="982" t="s">
        <v>348</v>
      </c>
      <c r="E88" s="961" t="s">
        <v>168</v>
      </c>
      <c r="F88" s="962" t="s">
        <v>349</v>
      </c>
      <c r="G88" s="181">
        <v>1.2</v>
      </c>
      <c r="H88" s="182">
        <v>1.07</v>
      </c>
      <c r="I88" s="182">
        <v>0.92</v>
      </c>
      <c r="J88" s="182">
        <v>0.75</v>
      </c>
      <c r="K88" s="182">
        <v>0.62</v>
      </c>
      <c r="L88" s="182">
        <v>0.56000000000000005</v>
      </c>
      <c r="M88" s="182">
        <v>0.54</v>
      </c>
      <c r="N88" s="205">
        <v>0.52</v>
      </c>
      <c r="O88" s="459" t="str">
        <f>'Service-based'!C46</f>
        <v># Direct Backup to Public Cloud, Workstations</v>
      </c>
    </row>
    <row r="89" spans="1:15" ht="14.45" customHeight="1" thickBot="1">
      <c r="A89" s="801"/>
      <c r="B89" s="823"/>
      <c r="C89" s="825"/>
      <c r="D89" s="986" t="s">
        <v>350</v>
      </c>
      <c r="E89" s="968" t="s">
        <v>168</v>
      </c>
      <c r="F89" s="969" t="s">
        <v>351</v>
      </c>
      <c r="G89" s="197">
        <v>1.2</v>
      </c>
      <c r="H89" s="198">
        <v>1.07</v>
      </c>
      <c r="I89" s="198">
        <v>0.92</v>
      </c>
      <c r="J89" s="198">
        <v>0.75</v>
      </c>
      <c r="K89" s="198">
        <v>0.62</v>
      </c>
      <c r="L89" s="198">
        <v>0.56000000000000005</v>
      </c>
      <c r="M89" s="198">
        <v>0.54</v>
      </c>
      <c r="N89" s="207">
        <v>0.52</v>
      </c>
      <c r="O89" s="459" t="str">
        <f>'Service-based'!C47</f>
        <v># Direct Backup to Public Cloud, Hosting Servers</v>
      </c>
    </row>
    <row r="90" spans="1:15" ht="14.45" customHeight="1">
      <c r="A90" s="801"/>
      <c r="B90" s="808" t="s">
        <v>136</v>
      </c>
      <c r="C90" s="805"/>
      <c r="D90" s="997" t="s">
        <v>352</v>
      </c>
      <c r="E90" s="957" t="s">
        <v>6</v>
      </c>
      <c r="F90" s="957" t="s">
        <v>353</v>
      </c>
      <c r="G90" s="189">
        <v>7.0000000000000007E-2</v>
      </c>
      <c r="H90" s="208">
        <v>6.2300000000000001E-2</v>
      </c>
      <c r="I90" s="208">
        <v>5.4800000000000001E-2</v>
      </c>
      <c r="J90" s="208">
        <v>4.82E-2</v>
      </c>
      <c r="K90" s="208">
        <v>4.24E-2</v>
      </c>
      <c r="L90" s="208">
        <v>3.9899999999999998E-2</v>
      </c>
      <c r="M90" s="208">
        <v>3.8300000000000001E-2</v>
      </c>
      <c r="N90" s="209">
        <v>3.7199999999999997E-2</v>
      </c>
      <c r="O90" s="459" t="str">
        <f>'Service-based'!C48</f>
        <v>Disaster Recovery Cloud Storage - Acronis Hosted</v>
      </c>
    </row>
    <row r="91" spans="1:15" ht="14.45" customHeight="1">
      <c r="A91" s="801"/>
      <c r="B91" s="804"/>
      <c r="C91" s="805"/>
      <c r="D91" s="998" t="s">
        <v>354</v>
      </c>
      <c r="E91" s="962" t="s">
        <v>190</v>
      </c>
      <c r="F91" s="962" t="s">
        <v>355</v>
      </c>
      <c r="G91" s="181">
        <v>8.6999999999999994E-2</v>
      </c>
      <c r="H91" s="182">
        <v>7.7399999999999997E-2</v>
      </c>
      <c r="I91" s="182">
        <v>6.8099999999999994E-2</v>
      </c>
      <c r="J91" s="182">
        <v>5.9900000000000002E-2</v>
      </c>
      <c r="K91" s="182">
        <v>5.2699999999999997E-2</v>
      </c>
      <c r="L91" s="182">
        <v>4.9500000000000002E-2</v>
      </c>
      <c r="M91" s="182">
        <v>4.7500000000000001E-2</v>
      </c>
      <c r="N91" s="205">
        <v>4.6100000000000002E-2</v>
      </c>
      <c r="O91" s="464" t="str">
        <f>'Service-based'!C48</f>
        <v>Disaster Recovery Cloud Storage - Acronis Hosted</v>
      </c>
    </row>
    <row r="92" spans="1:15" ht="14.45" customHeight="1">
      <c r="A92" s="801"/>
      <c r="B92" s="804"/>
      <c r="C92" s="805"/>
      <c r="D92" s="315" t="s">
        <v>356</v>
      </c>
      <c r="E92" s="962" t="s">
        <v>168</v>
      </c>
      <c r="F92" s="962" t="s">
        <v>357</v>
      </c>
      <c r="G92" s="181">
        <v>0.04</v>
      </c>
      <c r="H92" s="182">
        <v>3.56E-2</v>
      </c>
      <c r="I92" s="182">
        <v>3.1300000000000001E-2</v>
      </c>
      <c r="J92" s="182">
        <v>2.75E-2</v>
      </c>
      <c r="K92" s="182">
        <v>2.4199999999999999E-2</v>
      </c>
      <c r="L92" s="182">
        <v>2.2700000000000001E-2</v>
      </c>
      <c r="M92" s="182">
        <v>2.18E-2</v>
      </c>
      <c r="N92" s="205">
        <v>2.1100000000000001E-2</v>
      </c>
      <c r="O92" s="459" t="str">
        <f>'Service-based'!C49</f>
        <v>Disaster Recovery Cloud Storage - Service Provider Hosted</v>
      </c>
    </row>
    <row r="93" spans="1:15" ht="14.45" customHeight="1">
      <c r="A93" s="801"/>
      <c r="B93" s="804"/>
      <c r="C93" s="805"/>
      <c r="D93" s="999" t="s">
        <v>358</v>
      </c>
      <c r="E93" s="962" t="s">
        <v>168</v>
      </c>
      <c r="F93" s="962" t="s">
        <v>359</v>
      </c>
      <c r="G93" s="181">
        <v>0.06</v>
      </c>
      <c r="H93" s="182">
        <v>5.5800000000000002E-2</v>
      </c>
      <c r="I93" s="182">
        <v>5.1299999999999998E-2</v>
      </c>
      <c r="J93" s="182">
        <v>4.6199999999999998E-2</v>
      </c>
      <c r="K93" s="182">
        <v>4.2500000000000003E-2</v>
      </c>
      <c r="L93" s="182">
        <v>4.0800000000000003E-2</v>
      </c>
      <c r="M93" s="182">
        <v>3.8800000000000001E-2</v>
      </c>
      <c r="N93" s="205">
        <v>3.7999999999999999E-2</v>
      </c>
      <c r="O93" s="459" t="str">
        <f>'Service-based'!C50</f>
        <v>Monthly Compute Point Consumption (tests)</v>
      </c>
    </row>
    <row r="94" spans="1:15" ht="15" customHeight="1">
      <c r="A94" s="801"/>
      <c r="B94" s="804"/>
      <c r="C94" s="805"/>
      <c r="D94" s="999" t="s">
        <v>360</v>
      </c>
      <c r="E94" s="962" t="s">
        <v>168</v>
      </c>
      <c r="F94" s="962" t="s">
        <v>361</v>
      </c>
      <c r="G94" s="181">
        <v>3</v>
      </c>
      <c r="H94" s="182">
        <v>2.79</v>
      </c>
      <c r="I94" s="182">
        <v>2.57</v>
      </c>
      <c r="J94" s="182">
        <v>2.31</v>
      </c>
      <c r="K94" s="182">
        <v>2.13</v>
      </c>
      <c r="L94" s="182">
        <v>2.04</v>
      </c>
      <c r="M94" s="182">
        <v>1.94</v>
      </c>
      <c r="N94" s="205">
        <v>1.9</v>
      </c>
      <c r="O94" s="460" t="str">
        <f>'Service-based'!C51</f>
        <v>Public IPs</v>
      </c>
    </row>
    <row r="95" spans="1:15" ht="14.45" customHeight="1" thickBot="1">
      <c r="A95" s="801"/>
      <c r="B95" s="809"/>
      <c r="C95" s="810"/>
      <c r="D95" s="1000" t="s">
        <v>362</v>
      </c>
      <c r="E95" s="969" t="s">
        <v>168</v>
      </c>
      <c r="F95" s="969" t="s">
        <v>363</v>
      </c>
      <c r="G95" s="197">
        <v>14</v>
      </c>
      <c r="H95" s="198">
        <v>13.02</v>
      </c>
      <c r="I95" s="198">
        <v>11.98</v>
      </c>
      <c r="J95" s="198">
        <v>10.9</v>
      </c>
      <c r="K95" s="198">
        <v>10.14</v>
      </c>
      <c r="L95" s="198">
        <v>9.73</v>
      </c>
      <c r="M95" s="198">
        <v>9.24</v>
      </c>
      <c r="N95" s="207">
        <v>9.06</v>
      </c>
      <c r="O95" s="460" t="str">
        <f>'Service-based'!C52</f>
        <v># DR and Direct Backup to Azure workloads</v>
      </c>
    </row>
    <row r="96" spans="1:15" ht="15" customHeight="1">
      <c r="A96" s="801"/>
      <c r="B96" s="796" t="s">
        <v>142</v>
      </c>
      <c r="C96" s="797" t="s">
        <v>105</v>
      </c>
      <c r="D96" s="260" t="s">
        <v>364</v>
      </c>
      <c r="E96" s="1001" t="s">
        <v>6</v>
      </c>
      <c r="F96" s="963" t="s">
        <v>365</v>
      </c>
      <c r="G96" s="242">
        <v>1.25</v>
      </c>
      <c r="H96" s="243">
        <v>1.19</v>
      </c>
      <c r="I96" s="218">
        <v>1.1200000000000001</v>
      </c>
      <c r="J96" s="218">
        <v>1.03</v>
      </c>
      <c r="K96" s="218">
        <v>0.96</v>
      </c>
      <c r="L96" s="218">
        <v>0.92</v>
      </c>
      <c r="M96" s="218">
        <v>0.88</v>
      </c>
      <c r="N96" s="219">
        <v>0.86199999999999999</v>
      </c>
      <c r="O96" s="460" t="str">
        <f>'Service-based'!C53</f>
        <v># Microsoft 365 Archiving Seats (with unlimited Acronis Hosted Cloud storage*)</v>
      </c>
    </row>
    <row r="97" spans="1:17" ht="14.45" customHeight="1">
      <c r="A97" s="801"/>
      <c r="B97" s="796"/>
      <c r="C97" s="786"/>
      <c r="D97" s="260" t="s">
        <v>366</v>
      </c>
      <c r="E97" s="1002" t="s">
        <v>190</v>
      </c>
      <c r="F97" s="962" t="s">
        <v>367</v>
      </c>
      <c r="G97" s="181">
        <v>1.7</v>
      </c>
      <c r="H97" s="182">
        <v>1.62</v>
      </c>
      <c r="I97" s="182">
        <v>1.52</v>
      </c>
      <c r="J97" s="182">
        <v>1.4</v>
      </c>
      <c r="K97" s="182">
        <v>1.3</v>
      </c>
      <c r="L97" s="182">
        <v>1.248</v>
      </c>
      <c r="M97" s="182">
        <v>1.2</v>
      </c>
      <c r="N97" s="205">
        <v>1.1759999999999999</v>
      </c>
      <c r="O97" s="460" t="str">
        <f>'Service-based'!C53</f>
        <v># Microsoft 365 Archiving Seats (with unlimited Acronis Hosted Cloud storage*)</v>
      </c>
    </row>
    <row r="98" spans="1:17" ht="14.45" customHeight="1">
      <c r="A98" s="801"/>
      <c r="B98" s="796"/>
      <c r="C98" s="786"/>
      <c r="D98" s="261" t="s">
        <v>368</v>
      </c>
      <c r="E98" s="1002" t="s">
        <v>168</v>
      </c>
      <c r="F98" s="985" t="s">
        <v>369</v>
      </c>
      <c r="G98" s="224">
        <v>0.83</v>
      </c>
      <c r="H98" s="225">
        <v>0.79</v>
      </c>
      <c r="I98" s="225">
        <v>0.74</v>
      </c>
      <c r="J98" s="225">
        <v>0.68</v>
      </c>
      <c r="K98" s="225">
        <v>0.63</v>
      </c>
      <c r="L98" s="225">
        <v>0.60499999999999998</v>
      </c>
      <c r="M98" s="225">
        <v>0.57999999999999996</v>
      </c>
      <c r="N98" s="244">
        <v>0.56799999999999995</v>
      </c>
      <c r="O98" s="460" t="str">
        <f>'Service-based'!C54</f>
        <v># Microsoft 365 Archiving Seats (for SP/Azure/Google Hosted storage)</v>
      </c>
    </row>
    <row r="99" spans="1:17" ht="15.6" customHeight="1">
      <c r="A99" s="801"/>
      <c r="B99" s="796"/>
      <c r="C99" s="786"/>
      <c r="D99" s="262" t="s">
        <v>370</v>
      </c>
      <c r="E99" s="1002" t="s">
        <v>168</v>
      </c>
      <c r="F99" s="985" t="s">
        <v>371</v>
      </c>
      <c r="G99" s="181">
        <v>0.05</v>
      </c>
      <c r="H99" s="182">
        <v>4.7500000000000001E-2</v>
      </c>
      <c r="I99" s="182">
        <v>4.4200000000000003E-2</v>
      </c>
      <c r="J99" s="182">
        <v>3.9800000000000002E-2</v>
      </c>
      <c r="K99" s="182">
        <v>3.6600000000000001E-2</v>
      </c>
      <c r="L99" s="182">
        <v>3.5099999999999999E-2</v>
      </c>
      <c r="M99" s="182">
        <v>3.3700000000000001E-2</v>
      </c>
      <c r="N99" s="205">
        <v>3.3000000000000002E-2</v>
      </c>
      <c r="O99" s="460" t="str">
        <f>'Service-based'!C55</f>
        <v>Acronis Cloud Storage for Email Archiving at Azure/Google datacenters (for Per Workload model)</v>
      </c>
    </row>
    <row r="100" spans="1:17" ht="15.6" customHeight="1">
      <c r="A100" s="801"/>
      <c r="B100" s="796"/>
      <c r="C100" s="787"/>
      <c r="D100" s="316" t="s">
        <v>372</v>
      </c>
      <c r="E100" s="1003" t="s">
        <v>168</v>
      </c>
      <c r="F100" s="317" t="s">
        <v>373</v>
      </c>
      <c r="G100" s="206">
        <v>0.05</v>
      </c>
      <c r="H100" s="210">
        <v>4.7500000000000001E-2</v>
      </c>
      <c r="I100" s="210">
        <v>4.4200000000000003E-2</v>
      </c>
      <c r="J100" s="210">
        <v>3.9800000000000002E-2</v>
      </c>
      <c r="K100" s="210">
        <v>3.6600000000000001E-2</v>
      </c>
      <c r="L100" s="198">
        <v>3.5099999999999999E-2</v>
      </c>
      <c r="M100" s="198">
        <v>3.3700000000000001E-2</v>
      </c>
      <c r="N100" s="207">
        <v>3.3000000000000002E-2</v>
      </c>
      <c r="O100" s="459"/>
    </row>
    <row r="101" spans="1:17" ht="14.45" customHeight="1">
      <c r="A101" s="801"/>
      <c r="B101" s="796"/>
      <c r="C101" s="798" t="s">
        <v>120</v>
      </c>
      <c r="D101" s="235" t="s">
        <v>374</v>
      </c>
      <c r="E101" s="1001" t="s">
        <v>6</v>
      </c>
      <c r="F101" s="963" t="s">
        <v>375</v>
      </c>
      <c r="G101" s="490">
        <v>0.12</v>
      </c>
      <c r="H101" s="243">
        <v>0.10680000000000001</v>
      </c>
      <c r="I101" s="218">
        <v>9.4E-2</v>
      </c>
      <c r="J101" s="218">
        <v>8.5500000000000007E-2</v>
      </c>
      <c r="K101" s="218">
        <v>7.9500000000000001E-2</v>
      </c>
      <c r="L101" s="218">
        <v>7.7100000000000002E-2</v>
      </c>
      <c r="M101" s="218">
        <v>7.3999999999999996E-2</v>
      </c>
      <c r="N101" s="219">
        <v>7.1800000000000003E-2</v>
      </c>
      <c r="O101" s="459" t="str">
        <f>'Service-based'!C56</f>
        <v>Acronis Cloud Storage for Email Archiving at Acronis Datacenter (for Per GB model)</v>
      </c>
    </row>
    <row r="102" spans="1:17" s="80" customFormat="1" ht="14.45" customHeight="1">
      <c r="A102" s="801"/>
      <c r="B102" s="796"/>
      <c r="C102" s="798"/>
      <c r="D102" s="235" t="s">
        <v>376</v>
      </c>
      <c r="E102" s="1002" t="s">
        <v>190</v>
      </c>
      <c r="F102" s="962" t="s">
        <v>377</v>
      </c>
      <c r="G102" s="181">
        <v>0.13</v>
      </c>
      <c r="H102" s="182">
        <v>0.1157</v>
      </c>
      <c r="I102" s="182">
        <v>0.1018</v>
      </c>
      <c r="J102" s="182">
        <v>9.2600000000000002E-2</v>
      </c>
      <c r="K102" s="182">
        <v>8.6099999999999996E-2</v>
      </c>
      <c r="L102" s="182">
        <v>8.3500000000000005E-2</v>
      </c>
      <c r="M102" s="182">
        <v>8.0199999999999994E-2</v>
      </c>
      <c r="N102" s="219">
        <v>7.7799999999999994E-2</v>
      </c>
      <c r="O102" s="459" t="str">
        <f>'Service-based'!C56</f>
        <v>Acronis Cloud Storage for Email Archiving at Acronis Datacenter (for Per GB model)</v>
      </c>
      <c r="Q102"/>
    </row>
    <row r="103" spans="1:17" s="79" customFormat="1" ht="14.45" customHeight="1">
      <c r="A103" s="801"/>
      <c r="B103" s="796"/>
      <c r="C103" s="798"/>
      <c r="D103" s="235" t="s">
        <v>378</v>
      </c>
      <c r="E103" s="1004" t="s">
        <v>168</v>
      </c>
      <c r="F103" s="985" t="s">
        <v>379</v>
      </c>
      <c r="G103" s="224">
        <v>7.1999999999999995E-2</v>
      </c>
      <c r="H103" s="225">
        <v>6.4100000000000004E-2</v>
      </c>
      <c r="I103" s="225">
        <v>5.6399999999999999E-2</v>
      </c>
      <c r="J103" s="225">
        <v>5.1299999999999998E-2</v>
      </c>
      <c r="K103" s="225">
        <v>4.7699999999999999E-2</v>
      </c>
      <c r="L103" s="225">
        <v>4.6300000000000001E-2</v>
      </c>
      <c r="M103" s="225">
        <v>4.4400000000000002E-2</v>
      </c>
      <c r="N103" s="219">
        <v>4.3099999999999999E-2</v>
      </c>
      <c r="O103" s="459" t="str">
        <f>'Service-based'!C57</f>
        <v>Email Archiving Cloud Storage - Service Provider Hosted</v>
      </c>
      <c r="Q103"/>
    </row>
    <row r="104" spans="1:17" s="79" customFormat="1" ht="14.45" customHeight="1">
      <c r="A104" s="801"/>
      <c r="B104" s="796"/>
      <c r="C104" s="798"/>
      <c r="D104" s="236" t="s">
        <v>380</v>
      </c>
      <c r="E104" s="1004" t="s">
        <v>168</v>
      </c>
      <c r="F104" s="985" t="s">
        <v>381</v>
      </c>
      <c r="G104" s="181">
        <v>0.121</v>
      </c>
      <c r="H104" s="182">
        <v>0.115</v>
      </c>
      <c r="I104" s="182">
        <v>0.107</v>
      </c>
      <c r="J104" s="182">
        <v>9.6299999999999997E-2</v>
      </c>
      <c r="K104" s="182">
        <v>8.8599999999999998E-2</v>
      </c>
      <c r="L104" s="182">
        <v>8.5099999999999995E-2</v>
      </c>
      <c r="M104" s="182">
        <v>8.1699999999999995E-2</v>
      </c>
      <c r="N104" s="219">
        <v>8.0100000000000005E-2</v>
      </c>
      <c r="O104" s="459" t="str">
        <f>'Service-based'!C58</f>
        <v>Acronis Cloud Storage for Email Archiving at Azure/Google datacenters (for Per GB model)</v>
      </c>
      <c r="Q104"/>
    </row>
    <row r="105" spans="1:17" s="79" customFormat="1" ht="15" customHeight="1" thickBot="1">
      <c r="A105" s="801"/>
      <c r="B105" s="796"/>
      <c r="C105" s="799"/>
      <c r="D105" s="237" t="s">
        <v>382</v>
      </c>
      <c r="E105" s="1005" t="s">
        <v>168</v>
      </c>
      <c r="F105" s="1006" t="s">
        <v>383</v>
      </c>
      <c r="G105" s="238">
        <v>0.121</v>
      </c>
      <c r="H105" s="239">
        <v>0.115</v>
      </c>
      <c r="I105" s="240">
        <v>0.107</v>
      </c>
      <c r="J105" s="240">
        <v>9.6299999999999997E-2</v>
      </c>
      <c r="K105" s="240">
        <v>8.8599999999999998E-2</v>
      </c>
      <c r="L105" s="240">
        <v>8.5099999999999995E-2</v>
      </c>
      <c r="M105" s="240">
        <v>8.1699999999999995E-2</v>
      </c>
      <c r="N105" s="241">
        <v>8.0100000000000005E-2</v>
      </c>
      <c r="O105" s="460"/>
      <c r="Q105"/>
    </row>
    <row r="106" spans="1:17" s="79" customFormat="1" ht="15.6" customHeight="1">
      <c r="A106" s="775" t="s">
        <v>52</v>
      </c>
      <c r="B106" s="788"/>
      <c r="C106" s="470" t="s">
        <v>53</v>
      </c>
      <c r="D106" s="488" t="s">
        <v>384</v>
      </c>
      <c r="E106" s="1007" t="s">
        <v>168</v>
      </c>
      <c r="F106" s="1008" t="s">
        <v>385</v>
      </c>
      <c r="G106" s="491">
        <v>10.5</v>
      </c>
      <c r="H106" s="492">
        <v>10</v>
      </c>
      <c r="I106" s="493">
        <v>9.6</v>
      </c>
      <c r="J106" s="494">
        <v>9</v>
      </c>
      <c r="K106" s="494">
        <v>8.1999999999999993</v>
      </c>
      <c r="L106" s="494">
        <v>7.5</v>
      </c>
      <c r="M106" s="494">
        <v>6.9</v>
      </c>
      <c r="N106" s="495">
        <v>6.5</v>
      </c>
      <c r="O106" s="461" t="str">
        <f>'Solution-based'!C37</f>
        <v># Physical Cores, Standard Support Included</v>
      </c>
      <c r="Q106"/>
    </row>
    <row r="107" spans="1:17" s="79" customFormat="1" ht="15.6" customHeight="1">
      <c r="A107" s="777"/>
      <c r="B107" s="789"/>
      <c r="C107" s="791" t="s">
        <v>55</v>
      </c>
      <c r="D107" s="1009" t="s">
        <v>386</v>
      </c>
      <c r="E107" s="966" t="s">
        <v>168</v>
      </c>
      <c r="F107" s="963" t="s">
        <v>387</v>
      </c>
      <c r="G107" s="203">
        <v>9.2200000000000006</v>
      </c>
      <c r="H107" s="194">
        <v>8.7799999999999994</v>
      </c>
      <c r="I107" s="194">
        <v>8.43</v>
      </c>
      <c r="J107" s="194">
        <v>7.9</v>
      </c>
      <c r="K107" s="194">
        <v>7.2</v>
      </c>
      <c r="L107" s="194">
        <v>6.59</v>
      </c>
      <c r="M107" s="194">
        <v>6.06</v>
      </c>
      <c r="N107" s="204">
        <v>5.71</v>
      </c>
      <c r="O107" s="461" t="str">
        <f>'Solution-based'!C38</f>
        <v># Used Standard vCPUs</v>
      </c>
      <c r="Q107"/>
    </row>
    <row r="108" spans="1:17" s="79" customFormat="1" ht="15.6" customHeight="1">
      <c r="A108" s="777"/>
      <c r="B108" s="789"/>
      <c r="C108" s="792"/>
      <c r="D108" s="990" t="s">
        <v>388</v>
      </c>
      <c r="E108" s="961" t="s">
        <v>168</v>
      </c>
      <c r="F108" s="962" t="s">
        <v>389</v>
      </c>
      <c r="G108" s="181">
        <v>2.88</v>
      </c>
      <c r="H108" s="182">
        <v>2.74</v>
      </c>
      <c r="I108" s="182">
        <v>2.63</v>
      </c>
      <c r="J108" s="182">
        <v>2.4700000000000002</v>
      </c>
      <c r="K108" s="182">
        <v>2.25</v>
      </c>
      <c r="L108" s="182">
        <v>2.06</v>
      </c>
      <c r="M108" s="182">
        <v>1.89</v>
      </c>
      <c r="N108" s="205">
        <v>1.78</v>
      </c>
      <c r="O108" s="461" t="str">
        <f>'Solution-based'!C39</f>
        <v># GB of used Standard RAM</v>
      </c>
      <c r="Q108"/>
    </row>
    <row r="109" spans="1:17" s="79" customFormat="1" ht="15.6" customHeight="1">
      <c r="A109" s="777"/>
      <c r="B109" s="789"/>
      <c r="C109" s="792"/>
      <c r="D109" s="992" t="s">
        <v>390</v>
      </c>
      <c r="E109" s="961" t="s">
        <v>168</v>
      </c>
      <c r="F109" s="962" t="s">
        <v>391</v>
      </c>
      <c r="G109" s="181">
        <v>0.11459999999999999</v>
      </c>
      <c r="H109" s="182">
        <v>0.1091</v>
      </c>
      <c r="I109" s="182">
        <v>0.1047</v>
      </c>
      <c r="J109" s="182">
        <v>9.8199999999999996E-2</v>
      </c>
      <c r="K109" s="182">
        <v>8.9499999999999996E-2</v>
      </c>
      <c r="L109" s="182">
        <v>8.1900000000000001E-2</v>
      </c>
      <c r="M109" s="182">
        <v>7.5300000000000006E-2</v>
      </c>
      <c r="N109" s="205">
        <v>7.0900000000000005E-2</v>
      </c>
      <c r="O109" s="461" t="str">
        <f>'Solution-based'!C40</f>
        <v>Cyber Frame Cloud Block Storage</v>
      </c>
      <c r="Q109"/>
    </row>
    <row r="110" spans="1:17" ht="15.6" customHeight="1">
      <c r="A110" s="777"/>
      <c r="B110" s="789"/>
      <c r="C110" s="792"/>
      <c r="D110" s="992" t="s">
        <v>392</v>
      </c>
      <c r="E110" s="961" t="s">
        <v>168</v>
      </c>
      <c r="F110" s="962" t="s">
        <v>393</v>
      </c>
      <c r="G110" s="181">
        <v>3</v>
      </c>
      <c r="H110" s="182">
        <v>2.79</v>
      </c>
      <c r="I110" s="182">
        <v>2.57</v>
      </c>
      <c r="J110" s="182">
        <v>2.31</v>
      </c>
      <c r="K110" s="182">
        <v>2.13</v>
      </c>
      <c r="L110" s="182">
        <v>2.04</v>
      </c>
      <c r="M110" s="182">
        <v>1.94</v>
      </c>
      <c r="N110" s="411">
        <v>1.9</v>
      </c>
      <c r="O110" s="461" t="str">
        <f>'Solution-based'!C41</f>
        <v># Public IPs for Cyber Frame Cloud</v>
      </c>
    </row>
    <row r="111" spans="1:17" ht="15.6" customHeight="1" thickBot="1">
      <c r="A111" s="779"/>
      <c r="B111" s="790"/>
      <c r="C111" s="793"/>
      <c r="D111" s="1010" t="s">
        <v>394</v>
      </c>
      <c r="E111" s="968" t="s">
        <v>168</v>
      </c>
      <c r="F111" s="969" t="s">
        <v>395</v>
      </c>
      <c r="G111" s="197">
        <v>11.5</v>
      </c>
      <c r="H111" s="198">
        <v>11</v>
      </c>
      <c r="I111" s="198">
        <v>10.5</v>
      </c>
      <c r="J111" s="198">
        <v>10</v>
      </c>
      <c r="K111" s="198">
        <v>9.5</v>
      </c>
      <c r="L111" s="198">
        <v>9</v>
      </c>
      <c r="M111" s="198">
        <v>8.5</v>
      </c>
      <c r="N111" s="207">
        <v>8</v>
      </c>
      <c r="O111" s="461" t="str">
        <f>'Solution-based'!C42</f>
        <v># Windows Licenses (per licensed vCPU)</v>
      </c>
    </row>
    <row r="112" spans="1:17" ht="15.6" customHeight="1">
      <c r="A112" s="794" t="s">
        <v>61</v>
      </c>
      <c r="B112" s="778"/>
      <c r="C112" s="795" t="s">
        <v>62</v>
      </c>
      <c r="D112" s="319" t="s">
        <v>396</v>
      </c>
      <c r="E112" s="956" t="s">
        <v>6</v>
      </c>
      <c r="F112" s="1011" t="s">
        <v>397</v>
      </c>
      <c r="G112" s="329">
        <v>12</v>
      </c>
      <c r="H112" s="330">
        <v>11.69</v>
      </c>
      <c r="I112" s="331">
        <v>11.45</v>
      </c>
      <c r="J112" s="332">
        <v>11.2</v>
      </c>
      <c r="K112" s="332">
        <v>10.96</v>
      </c>
      <c r="L112" s="332">
        <v>10.72</v>
      </c>
      <c r="M112" s="332">
        <v>10.48</v>
      </c>
      <c r="N112" s="333">
        <v>10.24</v>
      </c>
      <c r="O112" s="460" t="str">
        <f>'Service-based'!C66</f>
        <v># Cyber Employee Agents</v>
      </c>
    </row>
    <row r="113" spans="1:20" ht="15.6" customHeight="1" thickBot="1">
      <c r="A113" s="794"/>
      <c r="B113" s="778"/>
      <c r="C113" s="795"/>
      <c r="D113" s="263" t="s">
        <v>398</v>
      </c>
      <c r="E113" s="968" t="s">
        <v>6</v>
      </c>
      <c r="F113" s="969" t="s">
        <v>399</v>
      </c>
      <c r="G113" s="264">
        <v>1</v>
      </c>
      <c r="H113" s="265">
        <v>0.97</v>
      </c>
      <c r="I113" s="266">
        <v>0.95</v>
      </c>
      <c r="J113" s="199">
        <v>0.93</v>
      </c>
      <c r="K113" s="199">
        <v>0.91</v>
      </c>
      <c r="L113" s="199">
        <v>0.89</v>
      </c>
      <c r="M113" s="199">
        <v>0.87</v>
      </c>
      <c r="N113" s="200">
        <v>0.85</v>
      </c>
      <c r="O113" s="460" t="str">
        <f>'Service-based'!C67</f>
        <v># Cyber Employee Usage Units</v>
      </c>
    </row>
    <row r="114" spans="1:20" ht="15.6" customHeight="1">
      <c r="A114" s="775" t="s">
        <v>400</v>
      </c>
      <c r="B114" s="776"/>
      <c r="C114" s="781" t="s">
        <v>66</v>
      </c>
      <c r="D114" s="234" t="s">
        <v>401</v>
      </c>
      <c r="E114" s="70" t="s">
        <v>168</v>
      </c>
      <c r="F114" s="114" t="s">
        <v>402</v>
      </c>
      <c r="G114" s="203">
        <v>1.7</v>
      </c>
      <c r="H114" s="194">
        <v>1.51</v>
      </c>
      <c r="I114" s="194">
        <v>1.36</v>
      </c>
      <c r="J114" s="194">
        <v>1.1200000000000001</v>
      </c>
      <c r="K114" s="194">
        <v>0.99</v>
      </c>
      <c r="L114" s="194">
        <v>0.93</v>
      </c>
      <c r="M114" s="194">
        <v>0.89</v>
      </c>
      <c r="N114" s="204">
        <v>0.85</v>
      </c>
      <c r="O114" s="459" t="str">
        <f>'Service-based'!C68</f>
        <v># of Cyber Files Users</v>
      </c>
    </row>
    <row r="115" spans="1:20" ht="15.6" customHeight="1">
      <c r="A115" s="777"/>
      <c r="B115" s="778"/>
      <c r="C115" s="782"/>
      <c r="D115" s="233" t="s">
        <v>403</v>
      </c>
      <c r="E115" s="73" t="s">
        <v>6</v>
      </c>
      <c r="F115" s="115" t="s">
        <v>404</v>
      </c>
      <c r="G115" s="181">
        <v>4.3499999999999997E-2</v>
      </c>
      <c r="H115" s="182">
        <v>3.8699999999999998E-2</v>
      </c>
      <c r="I115" s="182">
        <v>3.4099999999999998E-2</v>
      </c>
      <c r="J115" s="182">
        <v>2.86E-2</v>
      </c>
      <c r="K115" s="182">
        <v>2.3199999999999998E-2</v>
      </c>
      <c r="L115" s="182">
        <v>2.18E-2</v>
      </c>
      <c r="M115" s="182">
        <v>2.0899999999999998E-2</v>
      </c>
      <c r="N115" s="205">
        <v>2.0299999999999999E-2</v>
      </c>
      <c r="O115" s="459" t="str">
        <f>'Solution-based'!C46</f>
        <v>Cyber Files Cloud Acronis Hosted Storage (for per User Model)</v>
      </c>
    </row>
    <row r="116" spans="1:20" ht="15.6" customHeight="1">
      <c r="A116" s="777"/>
      <c r="B116" s="778"/>
      <c r="C116" s="783"/>
      <c r="D116" s="318" t="s">
        <v>405</v>
      </c>
      <c r="E116" s="71" t="s">
        <v>190</v>
      </c>
      <c r="F116" s="312" t="s">
        <v>406</v>
      </c>
      <c r="G116" s="197">
        <v>5.4600000000000003E-2</v>
      </c>
      <c r="H116" s="198">
        <v>4.8599999999999997E-2</v>
      </c>
      <c r="I116" s="198">
        <v>4.2799999999999998E-2</v>
      </c>
      <c r="J116" s="198">
        <v>3.5999999999999997E-2</v>
      </c>
      <c r="K116" s="198">
        <v>2.92E-2</v>
      </c>
      <c r="L116" s="198">
        <v>2.7400000000000001E-2</v>
      </c>
      <c r="M116" s="198">
        <v>2.63E-2</v>
      </c>
      <c r="N116" s="207">
        <v>2.58E-2</v>
      </c>
      <c r="O116" s="464" t="str">
        <f>'Solution-based'!C46</f>
        <v>Cyber Files Cloud Acronis Hosted Storage (for per User Model)</v>
      </c>
    </row>
    <row r="117" spans="1:20" ht="15.6" customHeight="1">
      <c r="A117" s="777"/>
      <c r="B117" s="778"/>
      <c r="C117" s="784" t="s">
        <v>120</v>
      </c>
      <c r="D117" s="320" t="s">
        <v>407</v>
      </c>
      <c r="E117" s="128" t="s">
        <v>6</v>
      </c>
      <c r="F117" s="311" t="s">
        <v>408</v>
      </c>
      <c r="G117" s="329">
        <v>0.124</v>
      </c>
      <c r="H117" s="330">
        <v>0.1104</v>
      </c>
      <c r="I117" s="331">
        <v>9.7199999999999995E-2</v>
      </c>
      <c r="J117" s="332">
        <v>8.8499999999999995E-2</v>
      </c>
      <c r="K117" s="332">
        <v>8.3199999999999996E-2</v>
      </c>
      <c r="L117" s="332">
        <v>7.9899999999999999E-2</v>
      </c>
      <c r="M117" s="332">
        <v>7.6700000000000004E-2</v>
      </c>
      <c r="N117" s="333">
        <v>7.4399999999999994E-2</v>
      </c>
      <c r="O117" s="459" t="str">
        <f>'Service-based'!C70</f>
        <v>Cyber Files Cloud Acronis Hosted Storage (for per GB Model)</v>
      </c>
    </row>
    <row r="118" spans="1:20" ht="15.6" customHeight="1">
      <c r="A118" s="777"/>
      <c r="B118" s="778"/>
      <c r="C118" s="782"/>
      <c r="D118" s="233" t="s">
        <v>409</v>
      </c>
      <c r="E118" s="73" t="s">
        <v>190</v>
      </c>
      <c r="F118" s="115" t="s">
        <v>410</v>
      </c>
      <c r="G118" s="229">
        <v>0.13400000000000001</v>
      </c>
      <c r="H118" s="230">
        <v>0.1193</v>
      </c>
      <c r="I118" s="231">
        <v>0.105</v>
      </c>
      <c r="J118" s="183">
        <v>9.5600000000000004E-2</v>
      </c>
      <c r="K118" s="183">
        <v>8.9899999999999994E-2</v>
      </c>
      <c r="L118" s="183">
        <v>8.6300000000000002E-2</v>
      </c>
      <c r="M118" s="183">
        <v>8.2799999999999999E-2</v>
      </c>
      <c r="N118" s="184">
        <v>8.0299999999999996E-2</v>
      </c>
      <c r="O118" s="464" t="str">
        <f>'Service-based'!C70</f>
        <v>Cyber Files Cloud Acronis Hosted Storage (for per GB Model)</v>
      </c>
    </row>
    <row r="119" spans="1:20" ht="15.6" customHeight="1" thickBot="1">
      <c r="A119" s="779"/>
      <c r="B119" s="780"/>
      <c r="C119" s="785"/>
      <c r="D119" s="318" t="s">
        <v>411</v>
      </c>
      <c r="E119" s="71" t="s">
        <v>168</v>
      </c>
      <c r="F119" s="312" t="s">
        <v>412</v>
      </c>
      <c r="G119" s="197">
        <v>7.1999999999999995E-2</v>
      </c>
      <c r="H119" s="198">
        <v>6.4100000000000004E-2</v>
      </c>
      <c r="I119" s="198">
        <v>5.6399999999999999E-2</v>
      </c>
      <c r="J119" s="198">
        <v>5.1299999999999998E-2</v>
      </c>
      <c r="K119" s="198">
        <v>4.82E-2</v>
      </c>
      <c r="L119" s="198">
        <v>4.6300000000000001E-2</v>
      </c>
      <c r="M119" s="198">
        <v>4.4400000000000002E-2</v>
      </c>
      <c r="N119" s="207">
        <v>4.3099999999999999E-2</v>
      </c>
      <c r="O119" s="462" t="str">
        <f>'Service-based'!C71</f>
        <v>Cyber Files Cloud Service Provider Hosted Storage</v>
      </c>
    </row>
    <row r="120" spans="1:20" ht="15.6" customHeight="1" thickBot="1">
      <c r="A120" s="831" t="s">
        <v>413</v>
      </c>
      <c r="B120" s="832"/>
      <c r="C120" s="833"/>
      <c r="D120" s="321" t="s">
        <v>414</v>
      </c>
      <c r="E120" s="322" t="s">
        <v>168</v>
      </c>
      <c r="F120" s="323" t="s">
        <v>415</v>
      </c>
      <c r="G120" s="334">
        <v>99</v>
      </c>
      <c r="H120" s="335">
        <v>99</v>
      </c>
      <c r="I120" s="336">
        <v>99</v>
      </c>
      <c r="J120" s="336">
        <v>99</v>
      </c>
      <c r="K120" s="336">
        <v>99</v>
      </c>
      <c r="L120" s="336">
        <v>99</v>
      </c>
      <c r="M120" s="336">
        <v>99</v>
      </c>
      <c r="N120" s="337">
        <v>99</v>
      </c>
      <c r="O120" s="459"/>
    </row>
    <row r="121" spans="1:20" ht="15.6" customHeight="1" thickBot="1">
      <c r="A121" s="777" t="s">
        <v>416</v>
      </c>
      <c r="B121" s="812"/>
      <c r="C121" s="789"/>
      <c r="D121" s="245" t="s">
        <v>417</v>
      </c>
      <c r="E121" s="324" t="s">
        <v>168</v>
      </c>
      <c r="F121" s="325" t="s">
        <v>418</v>
      </c>
      <c r="G121" s="348">
        <v>1.4999999999999999E-2</v>
      </c>
      <c r="H121" s="349">
        <v>1.34E-2</v>
      </c>
      <c r="I121" s="226">
        <v>1.18E-2</v>
      </c>
      <c r="J121" s="226">
        <v>1.04E-2</v>
      </c>
      <c r="K121" s="226">
        <v>9.4000000000000004E-3</v>
      </c>
      <c r="L121" s="226">
        <v>8.9999999999999993E-3</v>
      </c>
      <c r="M121" s="226">
        <v>8.6E-3</v>
      </c>
      <c r="N121" s="227">
        <v>8.3000000000000001E-3</v>
      </c>
      <c r="O121" s="459" t="str">
        <f>'Service-based'!C72</f>
        <v>Storage Required for S3/iSCSI/NFS/Compute (Per GB)</v>
      </c>
    </row>
    <row r="122" spans="1:20" ht="13.5" customHeight="1">
      <c r="A122" s="769" t="s">
        <v>419</v>
      </c>
      <c r="B122" s="770"/>
      <c r="C122" s="770"/>
      <c r="D122" s="770"/>
      <c r="E122" s="770"/>
      <c r="F122" s="770"/>
      <c r="G122" s="770"/>
      <c r="H122" s="770"/>
      <c r="I122" s="770"/>
      <c r="J122" s="770"/>
      <c r="K122" s="770"/>
      <c r="L122" s="770"/>
      <c r="M122" s="770"/>
      <c r="N122" s="771"/>
      <c r="O122"/>
    </row>
    <row r="123" spans="1:20" ht="13.5" customHeight="1">
      <c r="A123" s="772"/>
      <c r="B123" s="773"/>
      <c r="C123" s="773"/>
      <c r="D123" s="773"/>
      <c r="E123" s="773"/>
      <c r="F123" s="773"/>
      <c r="G123" s="773"/>
      <c r="H123" s="773"/>
      <c r="I123" s="773"/>
      <c r="J123" s="773"/>
      <c r="K123" s="773"/>
      <c r="L123" s="773"/>
      <c r="M123" s="773"/>
      <c r="N123" s="774"/>
      <c r="O123"/>
    </row>
    <row r="124" spans="1:20" ht="24.95" customHeight="1">
      <c r="A124" s="772"/>
      <c r="B124" s="773"/>
      <c r="C124" s="773"/>
      <c r="D124" s="773"/>
      <c r="E124" s="773"/>
      <c r="F124" s="773"/>
      <c r="G124" s="773"/>
      <c r="H124" s="773"/>
      <c r="I124" s="773"/>
      <c r="J124" s="773"/>
      <c r="K124" s="773"/>
      <c r="L124" s="773"/>
      <c r="M124" s="773"/>
      <c r="N124" s="774"/>
      <c r="O124"/>
    </row>
    <row r="125" spans="1:20" ht="16.5">
      <c r="A125" s="350" t="s">
        <v>420</v>
      </c>
      <c r="B125" s="351"/>
      <c r="C125" s="351"/>
      <c r="D125" s="351"/>
      <c r="E125" s="351"/>
      <c r="F125" s="351"/>
      <c r="G125" s="351"/>
      <c r="H125" s="351"/>
      <c r="I125" s="351"/>
      <c r="J125" s="351"/>
      <c r="K125" s="351"/>
      <c r="L125" s="351"/>
      <c r="M125" s="351"/>
      <c r="N125" s="352"/>
      <c r="O125"/>
    </row>
    <row r="126" spans="1:20" s="133" customFormat="1" ht="15" customHeight="1">
      <c r="A126" s="414" t="s">
        <v>421</v>
      </c>
      <c r="B126" s="412"/>
      <c r="C126" s="412"/>
      <c r="D126" s="412"/>
      <c r="E126" s="412"/>
      <c r="F126" s="412"/>
      <c r="G126" s="412"/>
      <c r="H126" s="412"/>
      <c r="I126" s="412"/>
      <c r="J126" s="412"/>
      <c r="K126" s="412"/>
      <c r="L126" s="412"/>
      <c r="M126" s="412"/>
      <c r="N126" s="413"/>
      <c r="O126"/>
      <c r="P126"/>
      <c r="Q126"/>
      <c r="R126"/>
      <c r="S126"/>
      <c r="T126"/>
    </row>
    <row r="127" spans="1:20" s="133" customFormat="1" ht="15" customHeight="1">
      <c r="A127" s="415" t="s">
        <v>422</v>
      </c>
      <c r="B127" s="412"/>
      <c r="C127" s="412"/>
      <c r="D127" s="412"/>
      <c r="E127" s="412"/>
      <c r="F127" s="412"/>
      <c r="G127" s="412"/>
      <c r="H127" s="412"/>
      <c r="I127" s="412"/>
      <c r="J127" s="412"/>
      <c r="K127" s="412"/>
      <c r="L127" s="412"/>
      <c r="M127" s="412"/>
      <c r="N127" s="413"/>
      <c r="O127"/>
      <c r="P127"/>
      <c r="Q127"/>
      <c r="R127"/>
      <c r="S127"/>
      <c r="T127"/>
    </row>
    <row r="128" spans="1:20" s="133" customFormat="1" ht="15" customHeight="1" thickBot="1">
      <c r="A128" s="416" t="s">
        <v>423</v>
      </c>
      <c r="B128" s="417"/>
      <c r="C128" s="417"/>
      <c r="D128" s="417"/>
      <c r="E128" s="417"/>
      <c r="F128" s="417"/>
      <c r="G128" s="417"/>
      <c r="H128" s="417"/>
      <c r="I128" s="417"/>
      <c r="J128" s="417"/>
      <c r="K128" s="417"/>
      <c r="L128" s="417"/>
      <c r="M128" s="417"/>
      <c r="N128" s="418"/>
      <c r="O128"/>
      <c r="P128"/>
      <c r="Q128"/>
      <c r="R128"/>
      <c r="S128"/>
      <c r="T128"/>
    </row>
    <row r="129" spans="6:17" s="80" customFormat="1" ht="14.45" hidden="1" customHeight="1">
      <c r="F129" s="134">
        <v>0</v>
      </c>
      <c r="G129" s="137">
        <v>1</v>
      </c>
      <c r="H129" s="137">
        <v>2</v>
      </c>
      <c r="I129" s="137">
        <v>3</v>
      </c>
      <c r="J129" s="137">
        <v>4</v>
      </c>
      <c r="K129" s="137">
        <v>5</v>
      </c>
      <c r="L129" s="137">
        <v>6</v>
      </c>
      <c r="M129" s="137">
        <v>7</v>
      </c>
      <c r="N129" s="137">
        <v>8</v>
      </c>
      <c r="O129" s="410"/>
      <c r="Q129"/>
    </row>
    <row r="130" spans="6:17" s="80" customFormat="1" ht="14.45" hidden="1" customHeight="1">
      <c r="F130" s="135">
        <v>0</v>
      </c>
      <c r="G130" s="138">
        <f t="shared" ref="G130:M130" si="0">G2</f>
        <v>250</v>
      </c>
      <c r="H130" s="138">
        <f t="shared" si="0"/>
        <v>500</v>
      </c>
      <c r="I130" s="138">
        <f t="shared" si="0"/>
        <v>1000</v>
      </c>
      <c r="J130" s="138">
        <f t="shared" si="0"/>
        <v>2000</v>
      </c>
      <c r="K130" s="138">
        <f t="shared" si="0"/>
        <v>4000</v>
      </c>
      <c r="L130" s="138">
        <f>L2</f>
        <v>7000</v>
      </c>
      <c r="M130" s="138">
        <f t="shared" si="0"/>
        <v>10000</v>
      </c>
      <c r="N130" s="138">
        <f>N2</f>
        <v>15000</v>
      </c>
      <c r="O130" s="410"/>
      <c r="Q130"/>
    </row>
    <row r="131" spans="6:17" s="133" customFormat="1">
      <c r="G131" s="136"/>
      <c r="H131" s="136"/>
      <c r="I131" s="136"/>
      <c r="J131" s="136"/>
      <c r="K131" s="136"/>
      <c r="L131" s="136"/>
      <c r="M131" s="136"/>
      <c r="N131" s="136"/>
      <c r="O131" s="409"/>
      <c r="Q131"/>
    </row>
    <row r="132" spans="6:17" s="133" customFormat="1">
      <c r="G132" s="136"/>
      <c r="H132" s="136"/>
      <c r="I132" s="136"/>
      <c r="J132" s="136"/>
      <c r="K132" s="136"/>
      <c r="L132" s="136"/>
      <c r="M132" s="136"/>
      <c r="N132" s="136"/>
      <c r="O132" s="409"/>
      <c r="Q132"/>
    </row>
    <row r="133" spans="6:17" s="133" customFormat="1">
      <c r="G133" s="136"/>
      <c r="H133" s="136"/>
      <c r="I133" s="136"/>
      <c r="J133" s="136"/>
      <c r="K133" s="136"/>
      <c r="L133" s="136"/>
      <c r="M133" s="136"/>
      <c r="N133" s="136"/>
      <c r="O133" s="409"/>
      <c r="Q133"/>
    </row>
    <row r="134" spans="6:17">
      <c r="G134" s="136"/>
      <c r="H134" s="136"/>
      <c r="I134" s="136"/>
      <c r="J134" s="136"/>
      <c r="K134" s="136"/>
      <c r="L134" s="136"/>
      <c r="M134" s="136"/>
      <c r="N134" s="136"/>
    </row>
    <row r="135" spans="6:17">
      <c r="G135" s="136"/>
      <c r="H135" s="136"/>
      <c r="I135" s="136"/>
      <c r="J135" s="136"/>
      <c r="K135" s="136"/>
      <c r="L135" s="136"/>
      <c r="M135" s="136"/>
      <c r="N135" s="136"/>
    </row>
    <row r="136" spans="6:17">
      <c r="G136" s="136"/>
      <c r="H136" s="136"/>
      <c r="I136" s="136"/>
      <c r="J136" s="136"/>
      <c r="K136" s="136"/>
      <c r="L136" s="136"/>
      <c r="M136" s="136"/>
      <c r="N136" s="136"/>
    </row>
  </sheetData>
  <sheetProtection algorithmName="SHA-512" hashValue="Ow/5V77nuxhkCgN5fRUhizjVa27oSeqNwGanLcfieDZLinmvwVNfPIA94loUAEvGKnpEfPNWg6v99zv7a0Zt8g==" saltValue="cn0rLztDBTXj6aUwgdhYdw==" spinCount="100000" sheet="1" objects="1" scenarios="1"/>
  <mergeCells count="42">
    <mergeCell ref="F1:F2"/>
    <mergeCell ref="B3:C5"/>
    <mergeCell ref="B35:C36"/>
    <mergeCell ref="B34:C34"/>
    <mergeCell ref="B40:C41"/>
    <mergeCell ref="D1:D2"/>
    <mergeCell ref="B37:C39"/>
    <mergeCell ref="A1:C2"/>
    <mergeCell ref="A3:A41"/>
    <mergeCell ref="E1:E2"/>
    <mergeCell ref="C18:C22"/>
    <mergeCell ref="C23:C27"/>
    <mergeCell ref="B28:C33"/>
    <mergeCell ref="A121:C121"/>
    <mergeCell ref="C58:C75"/>
    <mergeCell ref="B6:B17"/>
    <mergeCell ref="C6:C11"/>
    <mergeCell ref="C12:C17"/>
    <mergeCell ref="B18:B27"/>
    <mergeCell ref="B55:C55"/>
    <mergeCell ref="B56:C56"/>
    <mergeCell ref="B58:B89"/>
    <mergeCell ref="C86:C89"/>
    <mergeCell ref="B57:C57"/>
    <mergeCell ref="C83:C85"/>
    <mergeCell ref="A120:C120"/>
    <mergeCell ref="A122:N124"/>
    <mergeCell ref="A114:B119"/>
    <mergeCell ref="C114:C116"/>
    <mergeCell ref="C117:C119"/>
    <mergeCell ref="C76:C81"/>
    <mergeCell ref="A106:B111"/>
    <mergeCell ref="C107:C111"/>
    <mergeCell ref="A112:B113"/>
    <mergeCell ref="C112:C113"/>
    <mergeCell ref="B96:B105"/>
    <mergeCell ref="C96:C100"/>
    <mergeCell ref="C101:C105"/>
    <mergeCell ref="A42:A105"/>
    <mergeCell ref="B52:C54"/>
    <mergeCell ref="B90:C95"/>
    <mergeCell ref="B42:C51"/>
  </mergeCells>
  <hyperlinks>
    <hyperlink ref="A125" r:id="rId1" location="cyber-cloud-fair-usage" display="* based on the fair usage policy: https://www.acronis.com/en-us/company/licensing/" xr:uid="{7417E986-73B4-4D1C-ACDD-E3D5C5A37FF9}"/>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46B5-1390-4501-A2DA-8FAB27603650}">
  <dimension ref="A1:AI38"/>
  <sheetViews>
    <sheetView zoomScale="70" zoomScaleNormal="70" workbookViewId="0">
      <selection activeCell="D7" sqref="D7"/>
    </sheetView>
  </sheetViews>
  <sheetFormatPr defaultColWidth="0" defaultRowHeight="14.45" zeroHeight="1"/>
  <cols>
    <col min="1" max="1" width="40.140625" style="1" customWidth="1"/>
    <col min="2" max="3" width="25.42578125" style="1" customWidth="1"/>
    <col min="4" max="5" width="26.5703125" style="1" customWidth="1"/>
    <col min="6" max="6" width="26.85546875" style="1" customWidth="1"/>
    <col min="7" max="12" width="10.42578125" style="66" hidden="1" customWidth="1"/>
    <col min="13" max="21" width="21.85546875" style="66" hidden="1" customWidth="1"/>
    <col min="22" max="35" width="21.85546875" hidden="1" customWidth="1"/>
    <col min="36" max="16384" width="8.85546875" hidden="1"/>
  </cols>
  <sheetData>
    <row r="1" spans="1:6" ht="37.5" customHeight="1" thickBot="1">
      <c r="A1" s="863" t="s">
        <v>424</v>
      </c>
      <c r="B1" s="864"/>
      <c r="C1" s="864"/>
      <c r="D1" s="864"/>
      <c r="E1" s="143"/>
      <c r="F1" s="38"/>
    </row>
    <row r="2" spans="1:6" ht="8.1" customHeight="1" thickBot="1">
      <c r="A2" s="38"/>
      <c r="B2" s="38"/>
      <c r="C2" s="38"/>
      <c r="D2" s="38"/>
      <c r="E2" s="38"/>
      <c r="F2" s="38"/>
    </row>
    <row r="3" spans="1:6" ht="39" customHeight="1" thickBot="1">
      <c r="A3" s="865" t="s">
        <v>425</v>
      </c>
      <c r="B3" s="866"/>
      <c r="C3" s="866"/>
      <c r="D3" s="866"/>
      <c r="E3" s="144"/>
      <c r="F3" s="38"/>
    </row>
    <row r="4" spans="1:6" ht="43.5">
      <c r="A4" s="145" t="s">
        <v>426</v>
      </c>
      <c r="B4" s="146" t="s">
        <v>427</v>
      </c>
      <c r="C4" s="152" t="s">
        <v>428</v>
      </c>
      <c r="D4" s="152" t="s">
        <v>429</v>
      </c>
      <c r="E4" s="153" t="s">
        <v>430</v>
      </c>
      <c r="F4" s="153" t="s">
        <v>431</v>
      </c>
    </row>
    <row r="5" spans="1:6">
      <c r="A5" s="39" t="s">
        <v>432</v>
      </c>
      <c r="B5" s="27">
        <v>1</v>
      </c>
      <c r="C5" s="28"/>
      <c r="D5" s="28"/>
      <c r="E5" s="1012">
        <f>C5*B5*$B$16*$B$17</f>
        <v>0</v>
      </c>
      <c r="F5" s="1012">
        <f t="shared" ref="F5:F11" si="0">D5*B5*$B$16*$B$17</f>
        <v>0</v>
      </c>
    </row>
    <row r="6" spans="1:6">
      <c r="A6" s="40" t="s">
        <v>433</v>
      </c>
      <c r="B6" s="29">
        <v>2</v>
      </c>
      <c r="C6" s="30"/>
      <c r="D6" s="30"/>
      <c r="E6" s="1013">
        <f t="shared" ref="E6:E12" si="1">C6*B6*$B$16*$B$17</f>
        <v>0</v>
      </c>
      <c r="F6" s="1013">
        <f t="shared" si="0"/>
        <v>0</v>
      </c>
    </row>
    <row r="7" spans="1:6">
      <c r="A7" s="39" t="s">
        <v>434</v>
      </c>
      <c r="B7" s="31">
        <v>4</v>
      </c>
      <c r="C7" s="32"/>
      <c r="D7" s="32"/>
      <c r="E7" s="1014">
        <f t="shared" si="1"/>
        <v>0</v>
      </c>
      <c r="F7" s="1014">
        <f t="shared" si="0"/>
        <v>0</v>
      </c>
    </row>
    <row r="8" spans="1:6">
      <c r="A8" s="40" t="s">
        <v>435</v>
      </c>
      <c r="B8" s="29">
        <v>8</v>
      </c>
      <c r="C8" s="30"/>
      <c r="D8" s="30"/>
      <c r="E8" s="1013">
        <f>C8*B8*$B$16*$B$17</f>
        <v>0</v>
      </c>
      <c r="F8" s="1013">
        <f>D8*B8*$B$16*$B$17</f>
        <v>0</v>
      </c>
    </row>
    <row r="9" spans="1:6">
      <c r="A9" s="39" t="s">
        <v>436</v>
      </c>
      <c r="B9" s="31">
        <v>16</v>
      </c>
      <c r="C9" s="32"/>
      <c r="D9" s="32"/>
      <c r="E9" s="1014">
        <f>C9*B9*$B$16*$B$17</f>
        <v>0</v>
      </c>
      <c r="F9" s="1014">
        <f>D9*B9*$B$16*$B$17</f>
        <v>0</v>
      </c>
    </row>
    <row r="10" spans="1:6">
      <c r="A10" s="40" t="s">
        <v>437</v>
      </c>
      <c r="B10" s="29">
        <v>32</v>
      </c>
      <c r="C10" s="30"/>
      <c r="D10" s="30"/>
      <c r="E10" s="1013">
        <f t="shared" si="1"/>
        <v>0</v>
      </c>
      <c r="F10" s="1013">
        <f t="shared" si="0"/>
        <v>0</v>
      </c>
    </row>
    <row r="11" spans="1:6">
      <c r="A11" s="39" t="s">
        <v>438</v>
      </c>
      <c r="B11" s="31">
        <v>64</v>
      </c>
      <c r="C11" s="32"/>
      <c r="D11" s="32"/>
      <c r="E11" s="1014">
        <f t="shared" si="1"/>
        <v>0</v>
      </c>
      <c r="F11" s="1014">
        <f t="shared" si="0"/>
        <v>0</v>
      </c>
    </row>
    <row r="12" spans="1:6" ht="15" thickBot="1">
      <c r="A12" s="41" t="s">
        <v>439</v>
      </c>
      <c r="B12" s="33">
        <v>128</v>
      </c>
      <c r="C12" s="34"/>
      <c r="D12" s="34"/>
      <c r="E12" s="1015">
        <f t="shared" si="1"/>
        <v>0</v>
      </c>
      <c r="F12" s="1015">
        <f>D12*B12*$B$16*$B$17</f>
        <v>0</v>
      </c>
    </row>
    <row r="13" spans="1:6" ht="15" thickBot="1">
      <c r="A13" s="867" t="s">
        <v>440</v>
      </c>
      <c r="B13" s="868"/>
      <c r="C13" s="42">
        <f>SUM(C5:C12)</f>
        <v>0</v>
      </c>
      <c r="D13" s="42">
        <f>SUM(D5:D12)</f>
        <v>0</v>
      </c>
      <c r="E13" s="43">
        <f>SUM(E5:E12)</f>
        <v>0</v>
      </c>
      <c r="F13" s="43">
        <f>SUM(F5:F12)</f>
        <v>0</v>
      </c>
    </row>
    <row r="14" spans="1:6" ht="15" thickBot="1">
      <c r="A14" s="38"/>
      <c r="B14" s="38"/>
      <c r="C14" s="38"/>
      <c r="D14" s="38"/>
      <c r="E14" s="38"/>
      <c r="F14" s="38"/>
    </row>
    <row r="15" spans="1:6" ht="18.95" thickBot="1">
      <c r="A15" s="869" t="s">
        <v>441</v>
      </c>
      <c r="B15" s="870"/>
      <c r="C15" s="38"/>
      <c r="D15" s="38"/>
      <c r="E15" s="38"/>
      <c r="F15" s="38"/>
    </row>
    <row r="16" spans="1:6">
      <c r="A16" s="44" t="s">
        <v>442</v>
      </c>
      <c r="B16" s="45">
        <v>1</v>
      </c>
      <c r="C16" s="38"/>
      <c r="D16" s="38"/>
      <c r="E16" s="38"/>
      <c r="F16" s="38"/>
    </row>
    <row r="17" spans="1:6" ht="15" thickBot="1">
      <c r="A17" s="46" t="s">
        <v>443</v>
      </c>
      <c r="B17" s="47">
        <v>1</v>
      </c>
      <c r="C17" s="38"/>
      <c r="D17" s="38"/>
      <c r="E17" s="38"/>
      <c r="F17" s="38"/>
    </row>
    <row r="18" spans="1:6">
      <c r="A18" s="38"/>
      <c r="B18" s="38"/>
      <c r="C18" s="38"/>
      <c r="D18" s="38"/>
      <c r="E18" s="38"/>
      <c r="F18" s="38"/>
    </row>
    <row r="19" spans="1:6" ht="15" thickBot="1">
      <c r="A19" s="48"/>
      <c r="B19" s="48"/>
      <c r="C19" s="48"/>
      <c r="D19" s="48"/>
      <c r="E19" s="48"/>
      <c r="F19" s="48"/>
    </row>
    <row r="20" spans="1:6" ht="15" thickTop="1">
      <c r="A20" s="49"/>
      <c r="B20" s="49"/>
      <c r="C20" s="49"/>
      <c r="D20" s="49"/>
      <c r="E20" s="49"/>
      <c r="F20" s="49"/>
    </row>
    <row r="21" spans="1:6" ht="15" thickBot="1">
      <c r="A21" s="49"/>
      <c r="B21" s="49"/>
      <c r="C21" s="49"/>
      <c r="D21" s="49"/>
      <c r="E21" s="49"/>
      <c r="F21" s="49"/>
    </row>
    <row r="22" spans="1:6" ht="23.45">
      <c r="A22" s="871" t="s">
        <v>444</v>
      </c>
      <c r="B22" s="872"/>
      <c r="C22" s="872"/>
      <c r="D22" s="873"/>
      <c r="E22" s="49"/>
      <c r="F22" s="49"/>
    </row>
    <row r="23" spans="1:6" ht="5.0999999999999996" customHeight="1" thickBot="1">
      <c r="A23" s="49"/>
      <c r="B23" s="49"/>
      <c r="C23" s="49"/>
      <c r="D23" s="49"/>
      <c r="E23" s="49"/>
      <c r="F23" s="49"/>
    </row>
    <row r="24" spans="1:6" ht="25.5" customHeight="1" thickBot="1">
      <c r="A24" s="874" t="s">
        <v>445</v>
      </c>
      <c r="B24" s="875"/>
      <c r="C24" s="875"/>
      <c r="D24" s="876"/>
      <c r="E24" s="49"/>
      <c r="F24" s="49"/>
    </row>
    <row r="25" spans="1:6" ht="15" thickBot="1">
      <c r="A25" s="49"/>
      <c r="B25" s="49"/>
      <c r="C25" s="49"/>
      <c r="D25" s="49"/>
      <c r="E25" s="49"/>
      <c r="F25" s="49"/>
    </row>
    <row r="26" spans="1:6" ht="15" thickBot="1">
      <c r="A26" s="50" t="s">
        <v>446</v>
      </c>
      <c r="B26" s="51">
        <v>7</v>
      </c>
      <c r="C26" s="49"/>
      <c r="D26" s="49"/>
      <c r="E26" s="49"/>
      <c r="F26" s="49"/>
    </row>
    <row r="27" spans="1:6" ht="15" thickBot="1">
      <c r="A27" s="52"/>
      <c r="B27" s="52"/>
      <c r="C27" s="52"/>
      <c r="D27" s="52"/>
      <c r="E27" s="52"/>
      <c r="F27" s="49"/>
    </row>
    <row r="28" spans="1:6" ht="43.5">
      <c r="A28" s="53" t="s">
        <v>426</v>
      </c>
      <c r="B28" s="54" t="s">
        <v>427</v>
      </c>
      <c r="C28" s="55" t="s">
        <v>447</v>
      </c>
      <c r="D28" s="56" t="s">
        <v>448</v>
      </c>
      <c r="E28" s="57" t="s">
        <v>449</v>
      </c>
      <c r="F28" s="49"/>
    </row>
    <row r="29" spans="1:6">
      <c r="A29" s="39" t="s">
        <v>432</v>
      </c>
      <c r="B29" s="58">
        <v>1</v>
      </c>
      <c r="C29" s="28"/>
      <c r="D29" s="1016">
        <f>C29*24*B29</f>
        <v>0</v>
      </c>
      <c r="E29" s="1017">
        <f t="shared" ref="E29:E36" si="2">B29*24*$B$26*C29</f>
        <v>0</v>
      </c>
      <c r="F29" s="49"/>
    </row>
    <row r="30" spans="1:6">
      <c r="A30" s="59" t="s">
        <v>433</v>
      </c>
      <c r="B30" s="60">
        <v>2</v>
      </c>
      <c r="C30" s="30"/>
      <c r="D30" s="1018">
        <f t="shared" ref="D30:D36" si="3">C30*24*B30</f>
        <v>0</v>
      </c>
      <c r="E30" s="1019">
        <f t="shared" si="2"/>
        <v>0</v>
      </c>
      <c r="F30" s="49"/>
    </row>
    <row r="31" spans="1:6">
      <c r="A31" s="39" t="s">
        <v>434</v>
      </c>
      <c r="B31" s="61">
        <v>4</v>
      </c>
      <c r="C31" s="32"/>
      <c r="D31" s="1020">
        <f t="shared" si="3"/>
        <v>0</v>
      </c>
      <c r="E31" s="1021">
        <f t="shared" si="2"/>
        <v>0</v>
      </c>
      <c r="F31" s="49"/>
    </row>
    <row r="32" spans="1:6">
      <c r="A32" s="59" t="s">
        <v>435</v>
      </c>
      <c r="B32" s="60">
        <v>8</v>
      </c>
      <c r="C32" s="30"/>
      <c r="D32" s="1018">
        <f t="shared" si="3"/>
        <v>0</v>
      </c>
      <c r="E32" s="1019">
        <f t="shared" si="2"/>
        <v>0</v>
      </c>
      <c r="F32" s="49"/>
    </row>
    <row r="33" spans="1:6">
      <c r="A33" s="39" t="s">
        <v>436</v>
      </c>
      <c r="B33" s="61">
        <v>16</v>
      </c>
      <c r="C33" s="32"/>
      <c r="D33" s="1020">
        <f t="shared" si="3"/>
        <v>0</v>
      </c>
      <c r="E33" s="1021">
        <f t="shared" si="2"/>
        <v>0</v>
      </c>
      <c r="F33" s="49"/>
    </row>
    <row r="34" spans="1:6">
      <c r="A34" s="59" t="s">
        <v>437</v>
      </c>
      <c r="B34" s="60">
        <v>32</v>
      </c>
      <c r="C34" s="30"/>
      <c r="D34" s="1018">
        <f t="shared" si="3"/>
        <v>0</v>
      </c>
      <c r="E34" s="1019">
        <f t="shared" si="2"/>
        <v>0</v>
      </c>
      <c r="F34" s="49"/>
    </row>
    <row r="35" spans="1:6">
      <c r="A35" s="39" t="s">
        <v>438</v>
      </c>
      <c r="B35" s="61">
        <v>64</v>
      </c>
      <c r="C35" s="32"/>
      <c r="D35" s="1020">
        <f t="shared" si="3"/>
        <v>0</v>
      </c>
      <c r="E35" s="1021">
        <f t="shared" si="2"/>
        <v>0</v>
      </c>
      <c r="F35" s="49"/>
    </row>
    <row r="36" spans="1:6" ht="15" thickBot="1">
      <c r="A36" s="62" t="s">
        <v>439</v>
      </c>
      <c r="B36" s="63">
        <v>128</v>
      </c>
      <c r="C36" s="34"/>
      <c r="D36" s="1022">
        <f t="shared" si="3"/>
        <v>0</v>
      </c>
      <c r="E36" s="1023">
        <f t="shared" si="2"/>
        <v>0</v>
      </c>
      <c r="F36" s="49"/>
    </row>
    <row r="37" spans="1:6" ht="15" thickBot="1">
      <c r="A37" s="859" t="s">
        <v>440</v>
      </c>
      <c r="B37" s="860"/>
      <c r="C37" s="64">
        <f>SUM(C29:C36)</f>
        <v>0</v>
      </c>
      <c r="D37" s="65">
        <f>SUM(D29:D36)</f>
        <v>0</v>
      </c>
      <c r="E37" s="65">
        <f>SUM(E29:E36)</f>
        <v>0</v>
      </c>
      <c r="F37" s="49"/>
    </row>
    <row r="38" spans="1:6" ht="17.25" customHeight="1" thickBot="1">
      <c r="A38" s="861" t="s">
        <v>450</v>
      </c>
      <c r="B38" s="862"/>
      <c r="C38" s="862"/>
      <c r="D38" s="615">
        <f ca="1">D37*IF(C37&gt;=0,IF('Service-based'!$D$3=1,SUMIFS(INDIRECT("'Pricelist "&amp;'Solution-based'!$B$3&amp;"'!$G$42:$G$130"),INDIRECT("'Pricelist "&amp;'Solution-based'!$B$3&amp;"'!$O$42:$O$130"),'Service-based'!C50),IF('Service-based'!$D$3=2,SUMIFS(INDIRECT("'Pricelist "&amp;'Solution-based'!$B$3&amp;"'!$H$42:$H$130"),INDIRECT("'Pricelist "&amp;'Solution-based'!$B$3&amp;"'!$O$42:$O$130"),'Service-based'!C50),IF('Service-based'!$D$3=3,SUMIFS(INDIRECT("'Pricelist "&amp;'Solution-based'!$B$3&amp;"'!$I$42:$I$130"),INDIRECT("'Pricelist "&amp;'Solution-based'!$B$3&amp;"'!$O$42:$O$130"),'Service-based'!C50),IF('Service-based'!$D$3=4,SUMIFS(INDIRECT("'Pricelist "&amp;'Solution-based'!$B$3&amp;"'!$J$42:$J$130"),INDIRECT("'Pricelist "&amp;'Solution-based'!$B$3&amp;"'!$O$42:$O$130"),'Service-based'!C50),IF('Service-based'!$D$3=5,SUMIFS(INDIRECT("'Pricelist "&amp;'Solution-based'!$B$3&amp;"'!$K$42:$K$130"),INDIRECT("'Pricelist "&amp;'Solution-based'!$B$3&amp;"'!$O$42:$O$130"),'Service-based'!C50),IF('Service-based'!$D$3=6,SUMIFS(INDIRECT("'Pricelist "&amp;'Solution-based'!$B$3&amp;"'!$L$42:$L$130"),INDIRECT("'Pricelist "&amp;'Solution-based'!$B$3&amp;"'!$O$42:$O$130"),'Service-based'!C50),IF('Service-based'!$D$3=7,SUMIFS(INDIRECT("'Pricelist "&amp;'Solution-based'!$B$3&amp;"'!$M$42:$M$130"),INDIRECT("'Pricelist "&amp;'Solution-based'!$B$3&amp;"'!$O$42:$O$130"),'Service-based'!C50),IF('Service-based'!$D$3=8,SUMIFS(INDIRECT("'Pricelist "&amp;'Solution-based'!$B$3&amp;"'!$N$42:$N$130"),INDIRECT("'Pricelist "&amp;'Solution-based'!$B$3&amp;"'!$O$42:$O$130"),'Service-based'!C50),"")))))))),"")</f>
        <v>0</v>
      </c>
      <c r="E38" s="615">
        <f ca="1">E37*IF(D37&gt;=0,IF('Service-based'!$D$3=1,SUMIFS(INDIRECT("'Pricelist "&amp;'Solution-based'!$B$3&amp;"'!$G$42:$G$130"),INDIRECT("'Pricelist "&amp;'Solution-based'!$B$3&amp;"'!$O$42:$O$130"),'Service-based'!C50),IF('Service-based'!$D$3=2,SUMIFS(INDIRECT("'Pricelist "&amp;'Solution-based'!$B$3&amp;"'!$H$42:$H$130"),INDIRECT("'Pricelist "&amp;'Solution-based'!$B$3&amp;"'!$O$42:$O$130"),'Service-based'!C50),IF('Service-based'!$D$3=3,SUMIFS(INDIRECT("'Pricelist "&amp;'Solution-based'!$B$3&amp;"'!$I$42:$I$130"),INDIRECT("'Pricelist "&amp;'Solution-based'!$B$3&amp;"'!$O$42:$O$130"),'Service-based'!C50),IF('Service-based'!$D$3=4,SUMIFS(INDIRECT("'Pricelist "&amp;'Solution-based'!$B$3&amp;"'!$J$42:$J$130"),INDIRECT("'Pricelist "&amp;'Solution-based'!$B$3&amp;"'!$O$42:$O$130"),'Service-based'!C50),IF('Service-based'!$D$3=5,SUMIFS(INDIRECT("'Pricelist "&amp;'Solution-based'!$B$3&amp;"'!$K$42:$K$130"),INDIRECT("'Pricelist "&amp;'Solution-based'!$B$3&amp;"'!$O$42:$O$130"),'Service-based'!C50),IF('Service-based'!$D$3=6,SUMIFS(INDIRECT("'Pricelist "&amp;'Solution-based'!$B$3&amp;"'!$L$42:$L$130"),INDIRECT("'Pricelist "&amp;'Solution-based'!$B$3&amp;"'!$O$42:$O$130"),'Service-based'!C50),IF('Service-based'!$D$3=7,SUMIFS(INDIRECT("'Pricelist "&amp;'Solution-based'!$B$3&amp;"'!$M$42:$M$130"),INDIRECT("'Pricelist "&amp;'Solution-based'!$B$3&amp;"'!$O$42:$O$130"),'Service-based'!C50),IF('Service-based'!$D$3=8,SUMIFS(INDIRECT("'Pricelist "&amp;'Solution-based'!$B$3&amp;"'!$N$42:$N$130"),INDIRECT("'Pricelist "&amp;'Solution-based'!$B$3&amp;"'!$O$42:$O$130"),'Service-based'!C50),"")))))))),"")</f>
        <v>0</v>
      </c>
      <c r="F38" s="49"/>
    </row>
  </sheetData>
  <sheetProtection algorithmName="SHA-512" hashValue="1JLVUxt3Q9uELLj5ws3BYGogc9cjg5YyTeoA1VXLEmrjfuRnZ009YmgTTL9hdI138zs5jSJ4aEoM179W20/DKA==" saltValue="ac7PHMu5hhKshUMmA9+4ug==" spinCount="100000" sheet="1" objects="1" scenarios="1"/>
  <mergeCells count="8">
    <mergeCell ref="A37:B37"/>
    <mergeCell ref="A38:C38"/>
    <mergeCell ref="A1:D1"/>
    <mergeCell ref="A3:D3"/>
    <mergeCell ref="A13:B13"/>
    <mergeCell ref="A15:B15"/>
    <mergeCell ref="A22:D22"/>
    <mergeCell ref="A24:D2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0EF1F-494D-4714-9EA8-57DEFE5DB265}">
  <dimension ref="A1:I54"/>
  <sheetViews>
    <sheetView workbookViewId="0">
      <selection activeCell="L19" sqref="L19"/>
    </sheetView>
  </sheetViews>
  <sheetFormatPr defaultColWidth="8.85546875" defaultRowHeight="14.45"/>
  <cols>
    <col min="1" max="1" width="4.42578125" style="269" customWidth="1"/>
    <col min="2" max="2" width="15.85546875" style="269" customWidth="1"/>
    <col min="3" max="3" width="18.85546875" style="269" bestFit="1" customWidth="1"/>
    <col min="4" max="5" width="18.140625" style="269" customWidth="1"/>
    <col min="6" max="8" width="16.85546875" style="269" customWidth="1"/>
    <col min="9" max="16384" width="8.85546875" style="269"/>
  </cols>
  <sheetData>
    <row r="1" spans="1:9">
      <c r="A1" s="267" t="s">
        <v>451</v>
      </c>
      <c r="B1" s="268"/>
      <c r="C1" s="268"/>
      <c r="D1" s="268"/>
      <c r="E1" s="268"/>
      <c r="F1" s="268"/>
      <c r="G1" s="268"/>
      <c r="H1" s="268"/>
    </row>
    <row r="2" spans="1:9" ht="29.1">
      <c r="A2" s="270" t="s">
        <v>452</v>
      </c>
      <c r="B2" s="271" t="s">
        <v>453</v>
      </c>
      <c r="C2" s="272" t="s">
        <v>454</v>
      </c>
      <c r="D2" s="272" t="s">
        <v>455</v>
      </c>
      <c r="E2" s="273" t="s">
        <v>456</v>
      </c>
      <c r="F2" s="274" t="s">
        <v>457</v>
      </c>
      <c r="G2" s="274" t="s">
        <v>458</v>
      </c>
      <c r="H2" s="274" t="s">
        <v>459</v>
      </c>
      <c r="I2" s="308" t="s">
        <v>6</v>
      </c>
    </row>
    <row r="3" spans="1:9">
      <c r="A3" s="275">
        <v>1</v>
      </c>
      <c r="B3" s="342" t="s">
        <v>460</v>
      </c>
      <c r="C3" s="342" t="s">
        <v>6</v>
      </c>
      <c r="D3" s="276" t="s">
        <v>461</v>
      </c>
      <c r="E3" s="276" t="s">
        <v>462</v>
      </c>
      <c r="F3" s="342" t="s">
        <v>14</v>
      </c>
      <c r="G3" s="342" t="s">
        <v>14</v>
      </c>
      <c r="H3" s="277" t="s">
        <v>14</v>
      </c>
      <c r="I3" s="308" t="s">
        <v>190</v>
      </c>
    </row>
    <row r="4" spans="1:9">
      <c r="A4" s="278">
        <v>2</v>
      </c>
      <c r="B4" s="343" t="s">
        <v>460</v>
      </c>
      <c r="C4" s="343" t="s">
        <v>6</v>
      </c>
      <c r="D4" s="279" t="s">
        <v>461</v>
      </c>
      <c r="E4" s="279" t="s">
        <v>463</v>
      </c>
      <c r="F4" s="343" t="s">
        <v>14</v>
      </c>
      <c r="G4" s="343" t="s">
        <v>14</v>
      </c>
      <c r="H4" s="280" t="s">
        <v>14</v>
      </c>
    </row>
    <row r="5" spans="1:9">
      <c r="A5" s="275">
        <v>3</v>
      </c>
      <c r="B5" s="342" t="s">
        <v>460</v>
      </c>
      <c r="C5" s="342" t="s">
        <v>6</v>
      </c>
      <c r="D5" s="276" t="s">
        <v>464</v>
      </c>
      <c r="E5" s="276" t="s">
        <v>465</v>
      </c>
      <c r="F5" s="342" t="s">
        <v>14</v>
      </c>
      <c r="G5" s="342"/>
      <c r="H5" s="277" t="s">
        <v>14</v>
      </c>
    </row>
    <row r="6" spans="1:9">
      <c r="A6" s="278">
        <v>4</v>
      </c>
      <c r="B6" s="343" t="s">
        <v>460</v>
      </c>
      <c r="C6" s="343" t="s">
        <v>6</v>
      </c>
      <c r="D6" s="279" t="s">
        <v>466</v>
      </c>
      <c r="E6" s="279" t="s">
        <v>467</v>
      </c>
      <c r="F6" s="343"/>
      <c r="G6" s="343"/>
      <c r="H6" s="280" t="s">
        <v>14</v>
      </c>
    </row>
    <row r="7" spans="1:9">
      <c r="A7" s="275">
        <v>5</v>
      </c>
      <c r="B7" s="342" t="s">
        <v>460</v>
      </c>
      <c r="C7" s="342" t="s">
        <v>6</v>
      </c>
      <c r="D7" s="276" t="s">
        <v>468</v>
      </c>
      <c r="E7" s="276" t="s">
        <v>469</v>
      </c>
      <c r="F7" s="342" t="s">
        <v>14</v>
      </c>
      <c r="G7" s="342" t="s">
        <v>14</v>
      </c>
      <c r="H7" s="277" t="s">
        <v>14</v>
      </c>
    </row>
    <row r="8" spans="1:9">
      <c r="A8" s="278">
        <v>6</v>
      </c>
      <c r="B8" s="343" t="s">
        <v>460</v>
      </c>
      <c r="C8" s="343" t="s">
        <v>6</v>
      </c>
      <c r="D8" s="279" t="s">
        <v>470</v>
      </c>
      <c r="E8" s="279" t="s">
        <v>471</v>
      </c>
      <c r="F8" s="343"/>
      <c r="G8" s="343"/>
      <c r="H8" s="280" t="s">
        <v>14</v>
      </c>
    </row>
    <row r="9" spans="1:9">
      <c r="A9" s="275">
        <v>7</v>
      </c>
      <c r="B9" s="342" t="s">
        <v>460</v>
      </c>
      <c r="C9" s="342" t="s">
        <v>6</v>
      </c>
      <c r="D9" s="276" t="s">
        <v>470</v>
      </c>
      <c r="E9" s="276" t="s">
        <v>472</v>
      </c>
      <c r="F9" s="342"/>
      <c r="G9" s="342"/>
      <c r="H9" s="277"/>
    </row>
    <row r="10" spans="1:9">
      <c r="A10" s="278">
        <v>8</v>
      </c>
      <c r="B10" s="343" t="s">
        <v>460</v>
      </c>
      <c r="C10" s="343" t="s">
        <v>6</v>
      </c>
      <c r="D10" s="279" t="s">
        <v>464</v>
      </c>
      <c r="E10" s="279" t="s">
        <v>473</v>
      </c>
      <c r="F10" s="343" t="s">
        <v>14</v>
      </c>
      <c r="G10" s="343"/>
      <c r="H10" s="280" t="s">
        <v>14</v>
      </c>
    </row>
    <row r="11" spans="1:9">
      <c r="A11" s="275">
        <v>9</v>
      </c>
      <c r="B11" s="342" t="s">
        <v>460</v>
      </c>
      <c r="C11" s="342" t="s">
        <v>6</v>
      </c>
      <c r="D11" s="276" t="s">
        <v>474</v>
      </c>
      <c r="E11" s="276" t="s">
        <v>475</v>
      </c>
      <c r="F11" s="342"/>
      <c r="G11" s="342"/>
      <c r="H11" s="277" t="s">
        <v>14</v>
      </c>
    </row>
    <row r="12" spans="1:9">
      <c r="A12" s="278">
        <v>10</v>
      </c>
      <c r="B12" s="343" t="s">
        <v>460</v>
      </c>
      <c r="C12" s="343" t="s">
        <v>6</v>
      </c>
      <c r="D12" s="279" t="s">
        <v>461</v>
      </c>
      <c r="E12" s="279" t="s">
        <v>476</v>
      </c>
      <c r="F12" s="343"/>
      <c r="G12" s="343" t="s">
        <v>14</v>
      </c>
      <c r="H12" s="344"/>
    </row>
    <row r="13" spans="1:9">
      <c r="A13" s="275">
        <v>11</v>
      </c>
      <c r="B13" s="342" t="s">
        <v>460</v>
      </c>
      <c r="C13" s="342" t="s">
        <v>6</v>
      </c>
      <c r="D13" s="276" t="s">
        <v>477</v>
      </c>
      <c r="E13" s="276" t="s">
        <v>477</v>
      </c>
      <c r="F13" s="342"/>
      <c r="G13" s="342"/>
      <c r="H13" s="277" t="s">
        <v>14</v>
      </c>
    </row>
    <row r="14" spans="1:9">
      <c r="A14" s="278">
        <v>12</v>
      </c>
      <c r="B14" s="343" t="s">
        <v>460</v>
      </c>
      <c r="C14" s="343" t="s">
        <v>6</v>
      </c>
      <c r="D14" s="279" t="s">
        <v>478</v>
      </c>
      <c r="E14" s="279" t="s">
        <v>479</v>
      </c>
      <c r="F14" s="343"/>
      <c r="G14" s="343" t="s">
        <v>14</v>
      </c>
      <c r="H14" s="280" t="s">
        <v>14</v>
      </c>
    </row>
    <row r="15" spans="1:9">
      <c r="A15" s="275">
        <v>13</v>
      </c>
      <c r="B15" s="342" t="s">
        <v>460</v>
      </c>
      <c r="C15" s="342" t="s">
        <v>6</v>
      </c>
      <c r="D15" s="276" t="s">
        <v>480</v>
      </c>
      <c r="E15" s="276" t="s">
        <v>481</v>
      </c>
      <c r="F15" s="342" t="s">
        <v>14</v>
      </c>
      <c r="G15" s="342" t="s">
        <v>14</v>
      </c>
      <c r="H15" s="277" t="s">
        <v>14</v>
      </c>
    </row>
    <row r="16" spans="1:9">
      <c r="A16" s="278">
        <v>14</v>
      </c>
      <c r="B16" s="343" t="s">
        <v>460</v>
      </c>
      <c r="C16" s="343" t="s">
        <v>6</v>
      </c>
      <c r="D16" s="279" t="s">
        <v>480</v>
      </c>
      <c r="E16" s="279" t="s">
        <v>482</v>
      </c>
      <c r="F16" s="343" t="s">
        <v>14</v>
      </c>
      <c r="G16" s="343" t="s">
        <v>14</v>
      </c>
      <c r="H16" s="280" t="s">
        <v>14</v>
      </c>
    </row>
    <row r="17" spans="1:8">
      <c r="A17" s="275">
        <v>15</v>
      </c>
      <c r="B17" s="342" t="s">
        <v>460</v>
      </c>
      <c r="C17" s="342" t="s">
        <v>6</v>
      </c>
      <c r="D17" s="276" t="s">
        <v>483</v>
      </c>
      <c r="E17" s="276" t="s">
        <v>484</v>
      </c>
      <c r="F17" s="342"/>
      <c r="G17" s="342"/>
      <c r="H17" s="277" t="s">
        <v>14</v>
      </c>
    </row>
    <row r="18" spans="1:8">
      <c r="A18" s="278">
        <v>16</v>
      </c>
      <c r="B18" s="343" t="s">
        <v>460</v>
      </c>
      <c r="C18" s="343" t="s">
        <v>6</v>
      </c>
      <c r="D18" s="279" t="s">
        <v>485</v>
      </c>
      <c r="E18" s="279" t="s">
        <v>486</v>
      </c>
      <c r="F18" s="343"/>
      <c r="G18" s="343"/>
      <c r="H18" s="280"/>
    </row>
    <row r="19" spans="1:8">
      <c r="A19" s="275">
        <v>17</v>
      </c>
      <c r="B19" s="342" t="s">
        <v>460</v>
      </c>
      <c r="C19" s="342" t="s">
        <v>6</v>
      </c>
      <c r="D19" s="276" t="s">
        <v>487</v>
      </c>
      <c r="E19" s="276" t="s">
        <v>488</v>
      </c>
      <c r="F19" s="342"/>
      <c r="G19" s="342"/>
      <c r="H19" s="277" t="s">
        <v>14</v>
      </c>
    </row>
    <row r="20" spans="1:8">
      <c r="A20" s="278">
        <v>18</v>
      </c>
      <c r="B20" s="343" t="s">
        <v>460</v>
      </c>
      <c r="C20" s="343" t="s">
        <v>6</v>
      </c>
      <c r="D20" s="279" t="s">
        <v>489</v>
      </c>
      <c r="E20" s="279" t="s">
        <v>490</v>
      </c>
      <c r="F20" s="343"/>
      <c r="G20" s="343"/>
      <c r="H20" s="280" t="s">
        <v>14</v>
      </c>
    </row>
    <row r="21" spans="1:8">
      <c r="A21" s="275">
        <v>19</v>
      </c>
      <c r="B21" s="342" t="s">
        <v>460</v>
      </c>
      <c r="C21" s="342" t="s">
        <v>6</v>
      </c>
      <c r="D21" s="276" t="s">
        <v>491</v>
      </c>
      <c r="E21" s="276" t="s">
        <v>492</v>
      </c>
      <c r="F21" s="342"/>
      <c r="G21" s="342"/>
      <c r="H21" s="277" t="s">
        <v>14</v>
      </c>
    </row>
    <row r="22" spans="1:8">
      <c r="A22" s="278">
        <v>20</v>
      </c>
      <c r="B22" s="343" t="s">
        <v>460</v>
      </c>
      <c r="C22" s="343" t="s">
        <v>6</v>
      </c>
      <c r="D22" s="279" t="s">
        <v>493</v>
      </c>
      <c r="E22" s="279" t="s">
        <v>494</v>
      </c>
      <c r="F22" s="343"/>
      <c r="G22" s="343"/>
      <c r="H22" s="280" t="s">
        <v>14</v>
      </c>
    </row>
    <row r="23" spans="1:8">
      <c r="A23" s="275">
        <v>21</v>
      </c>
      <c r="B23" s="342" t="s">
        <v>460</v>
      </c>
      <c r="C23" s="342" t="s">
        <v>6</v>
      </c>
      <c r="D23" s="276" t="s">
        <v>495</v>
      </c>
      <c r="E23" s="276" t="s">
        <v>496</v>
      </c>
      <c r="F23" s="342"/>
      <c r="G23" s="342"/>
      <c r="H23" s="277" t="s">
        <v>14</v>
      </c>
    </row>
    <row r="24" spans="1:8">
      <c r="A24" s="278">
        <v>22</v>
      </c>
      <c r="B24" s="343" t="s">
        <v>460</v>
      </c>
      <c r="C24" s="343" t="s">
        <v>6</v>
      </c>
      <c r="D24" s="279" t="s">
        <v>497</v>
      </c>
      <c r="E24" s="279" t="s">
        <v>498</v>
      </c>
      <c r="F24" s="343"/>
      <c r="G24" s="343"/>
      <c r="H24" s="280" t="s">
        <v>14</v>
      </c>
    </row>
    <row r="25" spans="1:8">
      <c r="A25" s="275">
        <v>23</v>
      </c>
      <c r="B25" s="342" t="s">
        <v>460</v>
      </c>
      <c r="C25" s="342" t="s">
        <v>6</v>
      </c>
      <c r="D25" s="276" t="s">
        <v>499</v>
      </c>
      <c r="E25" s="276" t="s">
        <v>500</v>
      </c>
      <c r="F25" s="342"/>
      <c r="G25" s="342"/>
      <c r="H25" s="277" t="s">
        <v>14</v>
      </c>
    </row>
    <row r="26" spans="1:8">
      <c r="A26" s="278">
        <v>24</v>
      </c>
      <c r="B26" s="343" t="s">
        <v>460</v>
      </c>
      <c r="C26" s="343" t="s">
        <v>6</v>
      </c>
      <c r="D26" s="279" t="s">
        <v>501</v>
      </c>
      <c r="E26" s="279" t="s">
        <v>502</v>
      </c>
      <c r="F26" s="343"/>
      <c r="G26" s="343"/>
      <c r="H26" s="280" t="s">
        <v>14</v>
      </c>
    </row>
    <row r="27" spans="1:8">
      <c r="A27" s="275">
        <v>25</v>
      </c>
      <c r="B27" s="342" t="s">
        <v>460</v>
      </c>
      <c r="C27" s="342" t="s">
        <v>6</v>
      </c>
      <c r="D27" s="276" t="s">
        <v>503</v>
      </c>
      <c r="E27" s="276" t="s">
        <v>504</v>
      </c>
      <c r="F27" s="342" t="s">
        <v>14</v>
      </c>
      <c r="G27" s="342"/>
      <c r="H27" s="277" t="s">
        <v>14</v>
      </c>
    </row>
    <row r="28" spans="1:8">
      <c r="A28" s="278">
        <v>26</v>
      </c>
      <c r="B28" s="343" t="s">
        <v>460</v>
      </c>
      <c r="C28" s="343" t="s">
        <v>6</v>
      </c>
      <c r="D28" s="279" t="s">
        <v>505</v>
      </c>
      <c r="E28" s="279" t="s">
        <v>506</v>
      </c>
      <c r="F28" s="343"/>
      <c r="G28" s="343"/>
      <c r="H28" s="280" t="s">
        <v>14</v>
      </c>
    </row>
    <row r="29" spans="1:8">
      <c r="A29" s="275">
        <v>27</v>
      </c>
      <c r="B29" s="342" t="s">
        <v>460</v>
      </c>
      <c r="C29" s="342" t="s">
        <v>6</v>
      </c>
      <c r="D29" s="276" t="s">
        <v>507</v>
      </c>
      <c r="E29" s="276" t="s">
        <v>508</v>
      </c>
      <c r="F29" s="342"/>
      <c r="G29" s="342"/>
      <c r="H29" s="277" t="s">
        <v>14</v>
      </c>
    </row>
    <row r="30" spans="1:8">
      <c r="A30" s="278">
        <v>28</v>
      </c>
      <c r="B30" s="343" t="s">
        <v>460</v>
      </c>
      <c r="C30" s="343" t="s">
        <v>6</v>
      </c>
      <c r="D30" s="279" t="s">
        <v>509</v>
      </c>
      <c r="E30" s="279" t="s">
        <v>510</v>
      </c>
      <c r="F30" s="343"/>
      <c r="G30" s="343"/>
      <c r="H30" s="280" t="s">
        <v>14</v>
      </c>
    </row>
    <row r="31" spans="1:8">
      <c r="A31" s="275">
        <v>29</v>
      </c>
      <c r="B31" s="342" t="s">
        <v>460</v>
      </c>
      <c r="C31" s="342" t="s">
        <v>6</v>
      </c>
      <c r="D31" s="276" t="s">
        <v>511</v>
      </c>
      <c r="E31" s="276" t="s">
        <v>512</v>
      </c>
      <c r="F31" s="342"/>
      <c r="G31" s="342"/>
      <c r="H31" s="277" t="s">
        <v>14</v>
      </c>
    </row>
    <row r="32" spans="1:8">
      <c r="A32" s="278">
        <v>30</v>
      </c>
      <c r="B32" s="343" t="s">
        <v>460</v>
      </c>
      <c r="C32" s="343" t="s">
        <v>6</v>
      </c>
      <c r="D32" s="279" t="s">
        <v>513</v>
      </c>
      <c r="E32" s="279" t="s">
        <v>514</v>
      </c>
      <c r="F32" s="343"/>
      <c r="G32" s="343"/>
      <c r="H32" s="280" t="s">
        <v>14</v>
      </c>
    </row>
    <row r="33" spans="1:8">
      <c r="A33" s="275">
        <v>31</v>
      </c>
      <c r="B33" s="342" t="s">
        <v>460</v>
      </c>
      <c r="C33" s="342" t="s">
        <v>6</v>
      </c>
      <c r="D33" s="276" t="s">
        <v>515</v>
      </c>
      <c r="E33" s="276" t="s">
        <v>516</v>
      </c>
      <c r="F33" s="342"/>
      <c r="G33" s="342"/>
      <c r="H33" s="277" t="s">
        <v>14</v>
      </c>
    </row>
    <row r="34" spans="1:8">
      <c r="A34" s="278">
        <v>32</v>
      </c>
      <c r="B34" s="343" t="s">
        <v>460</v>
      </c>
      <c r="C34" s="343" t="s">
        <v>6</v>
      </c>
      <c r="D34" s="279" t="s">
        <v>517</v>
      </c>
      <c r="E34" s="279" t="s">
        <v>518</v>
      </c>
      <c r="F34" s="343"/>
      <c r="G34" s="343"/>
      <c r="H34" s="280" t="s">
        <v>14</v>
      </c>
    </row>
    <row r="35" spans="1:8">
      <c r="A35" s="275">
        <v>33</v>
      </c>
      <c r="B35" s="342" t="s">
        <v>460</v>
      </c>
      <c r="C35" s="342" t="s">
        <v>6</v>
      </c>
      <c r="D35" s="276" t="s">
        <v>519</v>
      </c>
      <c r="E35" s="276" t="s">
        <v>520</v>
      </c>
      <c r="F35" s="342"/>
      <c r="G35" s="342"/>
      <c r="H35" s="277" t="s">
        <v>14</v>
      </c>
    </row>
    <row r="36" spans="1:8">
      <c r="A36" s="278">
        <v>34</v>
      </c>
      <c r="B36" s="343" t="s">
        <v>460</v>
      </c>
      <c r="C36" s="343" t="s">
        <v>6</v>
      </c>
      <c r="D36" s="279" t="s">
        <v>521</v>
      </c>
      <c r="E36" s="279" t="s">
        <v>522</v>
      </c>
      <c r="F36" s="343"/>
      <c r="G36" s="343"/>
      <c r="H36" s="280" t="s">
        <v>14</v>
      </c>
    </row>
    <row r="37" spans="1:8">
      <c r="A37" s="275">
        <v>35</v>
      </c>
      <c r="B37" s="342" t="s">
        <v>460</v>
      </c>
      <c r="C37" s="342" t="s">
        <v>6</v>
      </c>
      <c r="D37" s="276" t="s">
        <v>523</v>
      </c>
      <c r="E37" s="276" t="s">
        <v>524</v>
      </c>
      <c r="F37" s="342"/>
      <c r="G37" s="342"/>
      <c r="H37" s="277" t="s">
        <v>14</v>
      </c>
    </row>
    <row r="38" spans="1:8">
      <c r="A38" s="278">
        <v>36</v>
      </c>
      <c r="B38" s="343" t="s">
        <v>460</v>
      </c>
      <c r="C38" s="343" t="s">
        <v>6</v>
      </c>
      <c r="D38" s="279" t="s">
        <v>525</v>
      </c>
      <c r="E38" s="279" t="s">
        <v>526</v>
      </c>
      <c r="F38" s="343"/>
      <c r="G38" s="343"/>
      <c r="H38" s="280" t="s">
        <v>14</v>
      </c>
    </row>
    <row r="39" spans="1:8">
      <c r="A39" s="281">
        <v>37</v>
      </c>
      <c r="B39" s="345" t="s">
        <v>460</v>
      </c>
      <c r="C39" s="345" t="s">
        <v>190</v>
      </c>
      <c r="D39" s="282" t="s">
        <v>527</v>
      </c>
      <c r="E39" s="282" t="s">
        <v>528</v>
      </c>
      <c r="F39" s="282"/>
      <c r="G39" s="282"/>
      <c r="H39" s="283" t="s">
        <v>14</v>
      </c>
    </row>
    <row r="40" spans="1:8">
      <c r="A40" s="278">
        <v>38</v>
      </c>
      <c r="B40" s="343" t="s">
        <v>460</v>
      </c>
      <c r="C40" s="343" t="s">
        <v>190</v>
      </c>
      <c r="D40" s="279" t="s">
        <v>529</v>
      </c>
      <c r="E40" s="279" t="s">
        <v>530</v>
      </c>
      <c r="F40" s="279"/>
      <c r="G40" s="279"/>
      <c r="H40" s="280" t="s">
        <v>14</v>
      </c>
    </row>
    <row r="41" spans="1:8">
      <c r="A41" s="284">
        <v>39</v>
      </c>
      <c r="B41" s="346" t="s">
        <v>460</v>
      </c>
      <c r="C41" s="346" t="s">
        <v>190</v>
      </c>
      <c r="D41" s="285" t="s">
        <v>531</v>
      </c>
      <c r="E41" s="285" t="s">
        <v>532</v>
      </c>
      <c r="F41" s="285"/>
      <c r="G41" s="285"/>
      <c r="H41" s="286" t="s">
        <v>14</v>
      </c>
    </row>
    <row r="43" spans="1:8">
      <c r="A43" s="287" t="s">
        <v>533</v>
      </c>
    </row>
    <row r="44" spans="1:8">
      <c r="A44" s="288" t="s">
        <v>452</v>
      </c>
      <c r="B44" s="289" t="s">
        <v>455</v>
      </c>
      <c r="C44" s="290" t="s">
        <v>456</v>
      </c>
    </row>
    <row r="45" spans="1:8">
      <c r="A45" s="291">
        <v>1</v>
      </c>
      <c r="B45" s="292" t="s">
        <v>461</v>
      </c>
      <c r="C45" s="293" t="s">
        <v>534</v>
      </c>
    </row>
    <row r="46" spans="1:8">
      <c r="A46" s="294">
        <v>2</v>
      </c>
      <c r="B46" s="295" t="s">
        <v>480</v>
      </c>
      <c r="C46" s="296" t="s">
        <v>535</v>
      </c>
    </row>
    <row r="47" spans="1:8">
      <c r="A47" s="297">
        <v>3</v>
      </c>
      <c r="B47" s="298" t="s">
        <v>468</v>
      </c>
      <c r="C47" s="299" t="s">
        <v>469</v>
      </c>
    </row>
    <row r="49" spans="1:3">
      <c r="A49" s="287" t="s">
        <v>536</v>
      </c>
    </row>
    <row r="50" spans="1:3">
      <c r="A50" s="288" t="s">
        <v>452</v>
      </c>
      <c r="B50" s="289" t="s">
        <v>455</v>
      </c>
      <c r="C50" s="290" t="s">
        <v>456</v>
      </c>
    </row>
    <row r="51" spans="1:3">
      <c r="A51" s="291">
        <v>1</v>
      </c>
      <c r="B51" s="292" t="s">
        <v>461</v>
      </c>
      <c r="C51" s="293" t="s">
        <v>537</v>
      </c>
    </row>
    <row r="52" spans="1:3">
      <c r="A52" s="294">
        <v>2</v>
      </c>
      <c r="B52" s="295" t="s">
        <v>538</v>
      </c>
      <c r="C52" s="296" t="s">
        <v>539</v>
      </c>
    </row>
    <row r="53" spans="1:3">
      <c r="A53" s="291">
        <v>3</v>
      </c>
      <c r="B53" s="292" t="s">
        <v>540</v>
      </c>
      <c r="C53" s="293" t="s">
        <v>541</v>
      </c>
    </row>
    <row r="54" spans="1:3">
      <c r="A54" s="300">
        <v>4</v>
      </c>
      <c r="B54" s="301" t="s">
        <v>489</v>
      </c>
      <c r="C54" s="302" t="s">
        <v>542</v>
      </c>
    </row>
  </sheetData>
  <sheetProtection algorithmName="SHA-512" hashValue="7NNHRwZfJwQYsewGBo2ElL/kkADtECOhq4HjNu9jwxZbtBUoXcK5LOipnLnSfcYm07k7VOV7lPmuA+waMh2hYQ==" saltValue="sm7T4GYMuxfdR4KVG6U+KQ==" spinCount="100000" sheet="1" objects="1" scenarios="1"/>
  <pageMargins left="0.7" right="0.7" top="0.75" bottom="0.75" header="0.3" footer="0.3"/>
  <pageSetup orientation="portrait" horizontalDpi="240" verticalDpi="24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78852-92D5-423C-BFE0-7F5382B3016F}">
  <sheetPr>
    <tabColor theme="5" tint="0.59999389629810485"/>
  </sheetPr>
  <dimension ref="A1:G18"/>
  <sheetViews>
    <sheetView zoomScale="70" zoomScaleNormal="70" workbookViewId="0">
      <selection activeCell="F25" sqref="F25"/>
    </sheetView>
  </sheetViews>
  <sheetFormatPr defaultColWidth="8.7109375" defaultRowHeight="14.45"/>
  <cols>
    <col min="1" max="1" width="28.85546875" style="147" customWidth="1"/>
    <col min="2" max="2" width="21.28515625" style="147" customWidth="1"/>
    <col min="3" max="3" width="35" style="147" customWidth="1"/>
    <col min="4" max="4" width="25.85546875" style="147" customWidth="1"/>
    <col min="5" max="5" width="15.5703125" style="147" customWidth="1"/>
    <col min="6" max="6" width="33.5703125" style="147" customWidth="1"/>
    <col min="7" max="7" width="70.5703125" style="147" customWidth="1"/>
    <col min="8" max="16384" width="8.7109375" style="147"/>
  </cols>
  <sheetData>
    <row r="1" spans="1:7" ht="71.099999999999994" customHeight="1">
      <c r="A1" s="883"/>
      <c r="B1" s="884"/>
      <c r="C1" s="884"/>
      <c r="D1" s="884"/>
      <c r="E1" s="884"/>
      <c r="F1" s="884"/>
      <c r="G1" s="885"/>
    </row>
    <row r="2" spans="1:7" ht="30" customHeight="1">
      <c r="A2" s="888" t="s">
        <v>543</v>
      </c>
      <c r="B2" s="889"/>
      <c r="C2" s="889"/>
      <c r="D2" s="148"/>
      <c r="E2" s="886"/>
      <c r="F2" s="886"/>
      <c r="G2" s="887"/>
    </row>
    <row r="3" spans="1:7" s="155" customFormat="1" ht="27.75" customHeight="1">
      <c r="A3" s="877" t="s">
        <v>544</v>
      </c>
      <c r="B3" s="878"/>
      <c r="C3" s="878"/>
      <c r="D3" s="878"/>
      <c r="E3" s="878"/>
      <c r="F3" s="878"/>
      <c r="G3" s="879"/>
    </row>
    <row r="4" spans="1:7" s="155" customFormat="1" ht="18" customHeight="1">
      <c r="A4" s="893" t="s">
        <v>545</v>
      </c>
      <c r="B4" s="894"/>
      <c r="C4" s="894"/>
      <c r="D4" s="894"/>
      <c r="E4" s="894"/>
      <c r="F4" s="894"/>
      <c r="G4" s="895"/>
    </row>
    <row r="5" spans="1:7" s="155" customFormat="1" ht="18" customHeight="1">
      <c r="A5" s="896" t="s">
        <v>546</v>
      </c>
      <c r="B5" s="897"/>
      <c r="C5" s="897"/>
      <c r="D5" s="897"/>
      <c r="E5" s="897"/>
      <c r="F5" s="897"/>
      <c r="G5" s="898"/>
    </row>
    <row r="6" spans="1:7" s="155" customFormat="1" ht="18" customHeight="1">
      <c r="A6" s="896" t="s">
        <v>547</v>
      </c>
      <c r="B6" s="897"/>
      <c r="C6" s="897"/>
      <c r="D6" s="897"/>
      <c r="E6" s="897"/>
      <c r="F6" s="897"/>
      <c r="G6" s="898"/>
    </row>
    <row r="7" spans="1:7" s="155" customFormat="1" ht="18" customHeight="1">
      <c r="A7" s="896" t="s">
        <v>548</v>
      </c>
      <c r="B7" s="897"/>
      <c r="C7" s="897"/>
      <c r="D7" s="897"/>
      <c r="E7" s="897"/>
      <c r="F7" s="897"/>
      <c r="G7" s="898"/>
    </row>
    <row r="8" spans="1:7" s="155" customFormat="1" ht="27.75" customHeight="1">
      <c r="A8" s="880" t="s">
        <v>549</v>
      </c>
      <c r="B8" s="881"/>
      <c r="C8" s="881"/>
      <c r="D8" s="881"/>
      <c r="E8" s="881"/>
      <c r="F8" s="881"/>
      <c r="G8" s="882"/>
    </row>
    <row r="9" spans="1:7" s="155" customFormat="1" ht="21.75" customHeight="1">
      <c r="A9" s="893" t="s">
        <v>550</v>
      </c>
      <c r="B9" s="894"/>
      <c r="C9" s="894"/>
      <c r="D9" s="894"/>
      <c r="E9" s="894"/>
      <c r="F9" s="894"/>
      <c r="G9" s="895"/>
    </row>
    <row r="10" spans="1:7" s="155" customFormat="1" ht="18" customHeight="1">
      <c r="A10" s="896" t="s">
        <v>551</v>
      </c>
      <c r="B10" s="897"/>
      <c r="C10" s="897"/>
      <c r="D10" s="897"/>
      <c r="E10" s="897"/>
      <c r="F10" s="897"/>
      <c r="G10" s="898"/>
    </row>
    <row r="11" spans="1:7" s="155" customFormat="1" ht="18" customHeight="1">
      <c r="A11" s="896" t="s">
        <v>552</v>
      </c>
      <c r="B11" s="897"/>
      <c r="C11" s="897"/>
      <c r="D11" s="897"/>
      <c r="E11" s="897"/>
      <c r="F11" s="897"/>
      <c r="G11" s="898"/>
    </row>
    <row r="12" spans="1:7" s="155" customFormat="1" ht="18" customHeight="1">
      <c r="A12" s="896" t="s">
        <v>553</v>
      </c>
      <c r="B12" s="897"/>
      <c r="C12" s="897"/>
      <c r="D12" s="897"/>
      <c r="E12" s="897"/>
      <c r="F12" s="897"/>
      <c r="G12" s="898"/>
    </row>
    <row r="13" spans="1:7" s="155" customFormat="1" ht="18" customHeight="1">
      <c r="A13" s="896" t="s">
        <v>554</v>
      </c>
      <c r="B13" s="897"/>
      <c r="C13" s="897"/>
      <c r="D13" s="897"/>
      <c r="E13" s="897"/>
      <c r="F13" s="897"/>
      <c r="G13" s="898"/>
    </row>
    <row r="14" spans="1:7" s="155" customFormat="1" ht="18" customHeight="1">
      <c r="A14" s="896" t="s">
        <v>555</v>
      </c>
      <c r="B14" s="897"/>
      <c r="C14" s="897"/>
      <c r="D14" s="897"/>
      <c r="E14" s="897"/>
      <c r="F14" s="897"/>
      <c r="G14" s="898"/>
    </row>
    <row r="15" spans="1:7" s="155" customFormat="1" ht="18" customHeight="1">
      <c r="A15" s="896" t="s">
        <v>556</v>
      </c>
      <c r="B15" s="897"/>
      <c r="C15" s="897"/>
      <c r="D15" s="897"/>
      <c r="E15" s="897"/>
      <c r="F15" s="897"/>
      <c r="G15" s="898"/>
    </row>
    <row r="16" spans="1:7" s="155" customFormat="1" ht="27.75" customHeight="1">
      <c r="A16" s="899" t="s">
        <v>557</v>
      </c>
      <c r="B16" s="900"/>
      <c r="C16" s="900"/>
      <c r="D16" s="900"/>
      <c r="E16" s="900"/>
      <c r="F16" s="900"/>
      <c r="G16" s="901"/>
    </row>
    <row r="17" spans="1:7" s="155" customFormat="1" ht="27.75" customHeight="1">
      <c r="A17" s="899" t="s">
        <v>558</v>
      </c>
      <c r="B17" s="900"/>
      <c r="C17" s="900"/>
      <c r="D17" s="900"/>
      <c r="E17" s="900"/>
      <c r="F17" s="900"/>
      <c r="G17" s="901"/>
    </row>
    <row r="18" spans="1:7" s="155" customFormat="1" ht="43.5" customHeight="1">
      <c r="A18" s="890" t="s">
        <v>559</v>
      </c>
      <c r="B18" s="891"/>
      <c r="C18" s="891"/>
      <c r="D18" s="891"/>
      <c r="E18" s="891"/>
      <c r="F18" s="891"/>
      <c r="G18" s="892"/>
    </row>
  </sheetData>
  <sheetProtection algorithmName="SHA-512" hashValue="3yefpG9usib3Qp/SsLhABaUVrEJ48/ufGzlutGiufiJVyAIqBDpzv2U9hji4SW+CSqkRt2Mc+p8fS+iM3FBFpg==" saltValue="YOZ0SKcFlGHRNGenSV0p5Q==" spinCount="100000" sheet="1" objects="1" scenarios="1"/>
  <mergeCells count="19">
    <mergeCell ref="A18:G18"/>
    <mergeCell ref="A4:G4"/>
    <mergeCell ref="A5:G5"/>
    <mergeCell ref="A6:G6"/>
    <mergeCell ref="A7:G7"/>
    <mergeCell ref="A9:G9"/>
    <mergeCell ref="A10:G10"/>
    <mergeCell ref="A11:G11"/>
    <mergeCell ref="A12:G12"/>
    <mergeCell ref="A13:G13"/>
    <mergeCell ref="A14:G14"/>
    <mergeCell ref="A15:G15"/>
    <mergeCell ref="A16:G16"/>
    <mergeCell ref="A17:G17"/>
    <mergeCell ref="A3:G3"/>
    <mergeCell ref="A8:G8"/>
    <mergeCell ref="A1:G1"/>
    <mergeCell ref="E2:G2"/>
    <mergeCell ref="A2:C2"/>
  </mergeCells>
  <hyperlinks>
    <hyperlink ref="A8" location="'Service-based'!A1" display="2. For customers using service-based licensing (old licensing), pricing should also be calculated on this page." xr:uid="{5AF8C45C-F0C5-4C64-9F82-A442FA955052}"/>
    <hyperlink ref="A3" location="'Solution-based'!A1" display="1. For customers using solution-based licensing (new licensing, implemented in version C25.08), pricing should be calculated on this page." xr:uid="{15A14A98-E446-4A1C-8495-F5FBE92440FA}"/>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2:H119"/>
  <sheetViews>
    <sheetView topLeftCell="A57" zoomScale="60" zoomScaleNormal="60" workbookViewId="0">
      <selection activeCell="F119" sqref="F119"/>
    </sheetView>
  </sheetViews>
  <sheetFormatPr defaultColWidth="8.85546875" defaultRowHeight="14.45"/>
  <cols>
    <col min="1" max="1" width="19.42578125" customWidth="1"/>
    <col min="2" max="2" width="31.42578125" bestFit="1" customWidth="1"/>
    <col min="3" max="3" width="93.5703125" customWidth="1"/>
    <col min="4" max="4" width="22.140625" customWidth="1"/>
    <col min="5" max="5" width="24.85546875" customWidth="1"/>
    <col min="6" max="6" width="23.42578125" customWidth="1"/>
    <col min="7" max="7" width="20.140625" customWidth="1"/>
  </cols>
  <sheetData>
    <row r="2" spans="1:6" ht="20.100000000000001" customHeight="1">
      <c r="A2" s="141">
        <f ca="1">'Solution-based'!D5-1</f>
        <v>0</v>
      </c>
      <c r="B2" s="906" t="s">
        <v>4</v>
      </c>
      <c r="C2" s="907"/>
      <c r="D2" s="452" t="e" cm="1" vm="2">
        <f t="array" aca="1" ref="D2" ca="1">INDEX(INDIRECT("'Pricelist "&amp;'Solution-based'!$B$3&amp;"'!$G$2:$N$2"),1,A2)</f>
        <v>#VALUE!</v>
      </c>
      <c r="E2" s="902"/>
      <c r="F2" s="903"/>
    </row>
    <row r="3" spans="1:6" ht="20.100000000000001" customHeight="1">
      <c r="A3" s="68"/>
      <c r="B3" s="916" t="s">
        <v>560</v>
      </c>
      <c r="C3" s="917"/>
      <c r="D3" s="35" t="str">
        <f>'Solution-based'!E6</f>
        <v>G1</v>
      </c>
      <c r="E3" s="925"/>
      <c r="F3" s="926"/>
    </row>
    <row r="4" spans="1:6" ht="17.45">
      <c r="A4" s="69"/>
      <c r="B4" s="908" t="s">
        <v>561</v>
      </c>
      <c r="C4" s="909"/>
      <c r="D4" s="10" t="s">
        <v>9</v>
      </c>
      <c r="E4" s="10" t="s">
        <v>10</v>
      </c>
      <c r="F4" s="10" t="s">
        <v>562</v>
      </c>
    </row>
    <row r="5" spans="1:6">
      <c r="A5" s="918" t="s">
        <v>563</v>
      </c>
      <c r="B5" s="921" t="s">
        <v>564</v>
      </c>
      <c r="C5" s="36" t="str">
        <f>'Solution-based'!C8</f>
        <v># Endpoint Security (Servers, VMs, Workstations)</v>
      </c>
      <c r="D5" s="86">
        <f>_xlfn.XLOOKUP(C5,'Solution-based'!$C$8:$C$49,'Solution-based'!$E$8:$E$49)</f>
        <v>0</v>
      </c>
      <c r="E5" s="420" t="str">
        <f ca="1">IFERROR(IF(D5&gt;0,SUMIFS(INDIRECT("'Pricelist "&amp;'Solution-based'!$B$3&amp;"'!$"&amp;CHAR(70+$A$2)&amp;"$3:$"&amp;CHAR(70+$A$2)&amp;"$130"),INDIRECT("'Pricelist "&amp;'Solution-based'!$B$3&amp;"'!$O$3:$O$130"),'Calculator +1 tier'!$C5),""),"Pricelist not found")</f>
        <v/>
      </c>
      <c r="F5" s="420" t="str">
        <f ca="1">IFERROR(D5*E5,"")</f>
        <v/>
      </c>
    </row>
    <row r="6" spans="1:6">
      <c r="A6" s="919"/>
      <c r="B6" s="922"/>
      <c r="C6" s="91" t="str">
        <f>'Solution-based'!C9</f>
        <v># Microsoft 365 Security</v>
      </c>
      <c r="D6" s="86">
        <f>_xlfn.XLOOKUP(C6,'Solution-based'!$C$8:$C$49,'Solution-based'!$E$8:$E$49)</f>
        <v>0</v>
      </c>
      <c r="E6" s="420" t="str">
        <f ca="1">IFERROR(IF(D6&gt;0,SUMIFS(INDIRECT("'Pricelist "&amp;'Solution-based'!$B$3&amp;"'!$"&amp;CHAR(70+$A$2)&amp;"$3:$"&amp;CHAR(70+$A$2)&amp;"$130"),INDIRECT("'Pricelist "&amp;'Solution-based'!$B$3&amp;"'!$O$3:$O$130"),'Calculator +1 tier'!$C6),""),"Pricelist not found")</f>
        <v/>
      </c>
      <c r="F6" s="420" t="str">
        <f t="shared" ref="F6:F45" ca="1" si="0">IFERROR(D6*E6,"")</f>
        <v/>
      </c>
    </row>
    <row r="7" spans="1:6">
      <c r="A7" s="919"/>
      <c r="B7" s="922"/>
      <c r="C7" s="36" t="str">
        <f>'Solution-based'!C10</f>
        <v># Google Workspace Security</v>
      </c>
      <c r="D7" s="86">
        <f>_xlfn.XLOOKUP(C7,'Solution-based'!$C$8:$C$49,'Solution-based'!$E$8:$E$49)</f>
        <v>0</v>
      </c>
      <c r="E7" s="420" t="str">
        <f ca="1">IFERROR(IF(D7&gt;0,SUMIFS(INDIRECT("'Pricelist "&amp;'Solution-based'!$B$3&amp;"'!$"&amp;CHAR(70+$A$2)&amp;"$3:$"&amp;CHAR(70+$A$2)&amp;"$130"),INDIRECT("'Pricelist "&amp;'Solution-based'!$B$3&amp;"'!$O$3:$O$130"),'Calculator +1 tier'!$C7),""),"Pricelist not found")</f>
        <v/>
      </c>
      <c r="F7" s="420" t="str">
        <f ca="1">IFERROR(D7*E7,"")</f>
        <v/>
      </c>
    </row>
    <row r="8" spans="1:6">
      <c r="A8" s="919"/>
      <c r="B8" s="922" t="s">
        <v>565</v>
      </c>
      <c r="C8" s="91" t="str">
        <f>'Solution-based'!C11</f>
        <v># BDR Server (3 TB of Acronis Hosted Storage included)</v>
      </c>
      <c r="D8" s="86">
        <f>_xlfn.XLOOKUP(C8,'Solution-based'!$C$8:$C$49,'Solution-based'!$E$8:$E$49)</f>
        <v>0</v>
      </c>
      <c r="E8" s="420" t="str">
        <f ca="1">IFERROR(IF(D8&gt;0,SUMIFS(INDIRECT("'Pricelist "&amp;'Solution-based'!$B$3&amp;"'!$"&amp;CHAR(70+$A$2)&amp;"$3:$"&amp;CHAR(70+$A$2)&amp;"$130"),INDIRECT("'Pricelist "&amp;'Solution-based'!$B$3&amp;"'!$O$3:$O$130"),'Calculator +1 tier'!$C8,INDIRECT("'Pricelist "&amp;'Solution-based'!$B$3&amp;"'!$E$3:$E$130"),$D$3),""),"Pricelist not found")</f>
        <v/>
      </c>
      <c r="F8" s="420" t="str">
        <f t="shared" ca="1" si="0"/>
        <v/>
      </c>
    </row>
    <row r="9" spans="1:6">
      <c r="A9" s="919"/>
      <c r="B9" s="922"/>
      <c r="C9" s="36" t="str">
        <f>'Solution-based'!C12</f>
        <v># BDR Virtual Machine (2 TB of Acronis Hosted Storage included)</v>
      </c>
      <c r="D9" s="86">
        <f>_xlfn.XLOOKUP(C9,'Solution-based'!$C$8:$C$49,'Solution-based'!$E$8:$E$49)</f>
        <v>0</v>
      </c>
      <c r="E9" s="420" t="str">
        <f ca="1">IFERROR(IF(D9&gt;0,SUMIFS(INDIRECT("'Pricelist "&amp;'Solution-based'!$B$3&amp;"'!$"&amp;CHAR(70+$A$2)&amp;"$3:$"&amp;CHAR(70+$A$2)&amp;"$130"),INDIRECT("'Pricelist "&amp;'Solution-based'!$B$3&amp;"'!$O$3:$O$130"),'Calculator +1 tier'!$C9,INDIRECT("'Pricelist "&amp;'Solution-based'!$B$3&amp;"'!$E$3:$E$130"),$D$3),""),"Pricelist not found")</f>
        <v/>
      </c>
      <c r="F9" s="420" t="str">
        <f ca="1">IFERROR(D9*E9,"")</f>
        <v/>
      </c>
    </row>
    <row r="10" spans="1:6">
      <c r="A10" s="919"/>
      <c r="B10" s="922"/>
      <c r="C10" s="91" t="str">
        <f>'Solution-based'!C13</f>
        <v># BDR Workstation (300 GB of Acronis Hosted Storage included)</v>
      </c>
      <c r="D10" s="86">
        <f>_xlfn.XLOOKUP(C10,'Solution-based'!$C$8:$C$49,'Solution-based'!$E$8:$E$49)</f>
        <v>0</v>
      </c>
      <c r="E10" s="420" t="str">
        <f ca="1">IFERROR(IF(D10&gt;0,SUMIFS(INDIRECT("'Pricelist "&amp;'Solution-based'!$B$3&amp;"'!$"&amp;CHAR(70+$A$2)&amp;"$3:$"&amp;CHAR(70+$A$2)&amp;"$130"),INDIRECT("'Pricelist "&amp;'Solution-based'!$B$3&amp;"'!$O$3:$O$130"),'Calculator +1 tier'!$C10,INDIRECT("'Pricelist "&amp;'Solution-based'!$B$3&amp;"'!$E$3:$E$130"),$D$3),""),"Pricelist not found")</f>
        <v/>
      </c>
      <c r="F10" s="420" t="str">
        <f t="shared" ca="1" si="0"/>
        <v/>
      </c>
    </row>
    <row r="11" spans="1:6">
      <c r="A11" s="919"/>
      <c r="B11" s="922"/>
      <c r="C11" s="92" t="str">
        <f>'Solution-based'!C14</f>
        <v># Microsoft 365 Backup + Archiving (unlimited Acronis Hosted Cloud Storage included*)</v>
      </c>
      <c r="D11" s="86">
        <f>_xlfn.XLOOKUP(C11,'Solution-based'!$C$8:$C$49,'Solution-based'!$E$8:$E$49)</f>
        <v>0</v>
      </c>
      <c r="E11" s="420" t="str">
        <f ca="1">IFERROR(IF(D11&gt;0,SUMIFS(INDIRECT("'Pricelist "&amp;'Solution-based'!$B$3&amp;"'!$"&amp;CHAR(70+$A$2)&amp;"$3:$"&amp;CHAR(70+$A$2)&amp;"$130"),INDIRECT("'Pricelist "&amp;'Solution-based'!$B$3&amp;"'!$O$3:$O$130"),'Calculator +1 tier'!$C11,INDIRECT("'Pricelist "&amp;'Solution-based'!$B$3&amp;"'!$E$3:$E$130"),$D$3),""),"Pricelist not found")</f>
        <v/>
      </c>
      <c r="F11" s="420" t="str">
        <f t="shared" ca="1" si="0"/>
        <v/>
      </c>
    </row>
    <row r="12" spans="1:6">
      <c r="A12" s="919"/>
      <c r="B12" s="922"/>
      <c r="C12" s="91" t="str">
        <f>'Solution-based'!C15</f>
        <v># Google Workspace Backup (unlimited Acronis Hosted Cloud Storage included*)</v>
      </c>
      <c r="D12" s="86">
        <f>_xlfn.XLOOKUP(C12,'Solution-based'!$C$8:$C$49,'Solution-based'!$E$8:$E$49)</f>
        <v>0</v>
      </c>
      <c r="E12" s="420" t="str">
        <f ca="1">IFERROR(IF(D12&gt;0,SUMIFS(INDIRECT("'Pricelist "&amp;'Solution-based'!$B$3&amp;"'!$"&amp;CHAR(70+$A$2)&amp;"$3:$"&amp;CHAR(70+$A$2)&amp;"$130"),INDIRECT("'Pricelist "&amp;'Solution-based'!$B$3&amp;"'!$O$3:$O$130"),'Calculator +1 tier'!$C12,INDIRECT("'Pricelist "&amp;'Solution-based'!$B$3&amp;"'!$E$3:$E$130"),$D$3),""),"Pricelist not found")</f>
        <v/>
      </c>
      <c r="F12" s="420" t="str">
        <f ca="1">IFERROR(D12*E12,"")</f>
        <v/>
      </c>
    </row>
    <row r="13" spans="1:6">
      <c r="A13" s="919"/>
      <c r="B13" s="922"/>
      <c r="C13" s="91" t="str">
        <f>'Solution-based'!C16</f>
        <v># Mobile Backup (50 GB od Acronis Hosted Storage included)</v>
      </c>
      <c r="D13" s="86">
        <f>_xlfn.XLOOKUP(C13,'Solution-based'!$C$8:$C$49,'Solution-based'!$E$8:$E$49)</f>
        <v>0</v>
      </c>
      <c r="E13" s="420" t="str">
        <f ca="1">IFERROR(IF(D13&gt;0,SUMIFS(INDIRECT("'Pricelist "&amp;'Solution-based'!$B$3&amp;"'!$"&amp;CHAR(70+$A$2)&amp;"$3:$"&amp;CHAR(70+$A$2)&amp;"$130"),INDIRECT("'Pricelist "&amp;'Solution-based'!$B$3&amp;"'!$O$3:$O$130"),'Calculator +1 tier'!$C13,INDIRECT("'Pricelist "&amp;'Solution-based'!$B$3&amp;"'!$E$3:$E$130"),$D$3),""),"Pricelist not found")</f>
        <v/>
      </c>
      <c r="F13" s="420" t="str">
        <f t="shared" ca="1" si="0"/>
        <v/>
      </c>
    </row>
    <row r="14" spans="1:6">
      <c r="A14" s="919"/>
      <c r="B14" s="922" t="s">
        <v>566</v>
      </c>
      <c r="C14" s="36" t="str">
        <f>'Solution-based'!C17</f>
        <v># Ultimate Server (3 TB of Acronis Hosted Storage included)</v>
      </c>
      <c r="D14" s="86">
        <f>_xlfn.XLOOKUP(C14,'Solution-based'!$C$8:$C$49,'Solution-based'!$E$8:$E$49)</f>
        <v>0</v>
      </c>
      <c r="E14" s="420" t="str">
        <f ca="1">IFERROR(IF(D14&gt;0,SUMIFS(INDIRECT("'Pricelist "&amp;'Solution-based'!$B$3&amp;"'!$"&amp;CHAR(70+$A$2)&amp;"$3:$"&amp;CHAR(70+$A$2)&amp;"$130"),INDIRECT("'Pricelist "&amp;'Solution-based'!$B$3&amp;"'!$O$3:$O$130"),'Calculator +1 tier'!$C14,INDIRECT("'Pricelist "&amp;'Solution-based'!$B$3&amp;"'!$E$3:$E$130"),$D$3),""),"Pricelist not found")</f>
        <v/>
      </c>
      <c r="F14" s="420" t="str">
        <f t="shared" ca="1" si="0"/>
        <v/>
      </c>
    </row>
    <row r="15" spans="1:6">
      <c r="A15" s="919"/>
      <c r="B15" s="922"/>
      <c r="C15" s="91" t="str">
        <f>'Solution-based'!C18</f>
        <v># Ultimate Virtual Machine (2 TB of Acronis Hosted Storage included)</v>
      </c>
      <c r="D15" s="86">
        <f>_xlfn.XLOOKUP(C15,'Solution-based'!$C$8:$C$49,'Solution-based'!$E$8:$E$49)</f>
        <v>0</v>
      </c>
      <c r="E15" s="420" t="str">
        <f ca="1">IFERROR(IF(D15&gt;0,SUMIFS(INDIRECT("'Pricelist "&amp;'Solution-based'!$B$3&amp;"'!$"&amp;CHAR(70+$A$2)&amp;"$3:$"&amp;CHAR(70+$A$2)&amp;"$130"),INDIRECT("'Pricelist "&amp;'Solution-based'!$B$3&amp;"'!$O$3:$O$130"),'Calculator +1 tier'!$C15,INDIRECT("'Pricelist "&amp;'Solution-based'!$B$3&amp;"'!$E$3:$E$130"),$D$3),""),"Pricelist not found")</f>
        <v/>
      </c>
      <c r="F15" s="420" t="str">
        <f t="shared" ca="1" si="0"/>
        <v/>
      </c>
    </row>
    <row r="16" spans="1:6">
      <c r="A16" s="919"/>
      <c r="B16" s="922"/>
      <c r="C16" s="36" t="str">
        <f>'Solution-based'!C19</f>
        <v># Ultimate Workstation (300 GB of Acronis Hosted Storage included)</v>
      </c>
      <c r="D16" s="86">
        <f>_xlfn.XLOOKUP(C16,'Solution-based'!$C$8:$C$49,'Solution-based'!$E$8:$E$49)</f>
        <v>0</v>
      </c>
      <c r="E16" s="420" t="str">
        <f ca="1">IFERROR(IF(D16&gt;0,SUMIFS(INDIRECT("'Pricelist "&amp;'Solution-based'!$B$3&amp;"'!$"&amp;CHAR(70+$A$2)&amp;"$3:$"&amp;CHAR(70+$A$2)&amp;"$130"),INDIRECT("'Pricelist "&amp;'Solution-based'!$B$3&amp;"'!$O$3:$O$130"),'Calculator +1 tier'!$C16,INDIRECT("'Pricelist "&amp;'Solution-based'!$B$3&amp;"'!$E$3:$E$130"),$D$3),""),"Pricelist not found")</f>
        <v/>
      </c>
      <c r="F16" s="420" t="str">
        <f t="shared" ca="1" si="0"/>
        <v/>
      </c>
    </row>
    <row r="17" spans="1:6">
      <c r="A17" s="919"/>
      <c r="B17" s="922"/>
      <c r="C17" s="91" t="str">
        <f>'Solution-based'!C20</f>
        <v># Ultimate Microsoft 365 (unlimited Acronis Hosted Cloud Storage included*)</v>
      </c>
      <c r="D17" s="86">
        <f>_xlfn.XLOOKUP(C17,'Solution-based'!$C$8:$C$49,'Solution-based'!$E$8:$E$49)</f>
        <v>0</v>
      </c>
      <c r="E17" s="420" t="str">
        <f ca="1">IFERROR(IF(D17&gt;0,SUMIFS(INDIRECT("'Pricelist "&amp;'Solution-based'!$B$3&amp;"'!$"&amp;CHAR(70+$A$2)&amp;"$3:$"&amp;CHAR(70+$A$2)&amp;"$130"),INDIRECT("'Pricelist "&amp;'Solution-based'!$B$3&amp;"'!$O$3:$O$130"),'Calculator +1 tier'!$C17,INDIRECT("'Pricelist "&amp;'Solution-based'!$B$3&amp;"'!$E$3:$E$130"),$D$3),""),"Pricelist not found")</f>
        <v/>
      </c>
      <c r="F17" s="420" t="str">
        <f t="shared" ca="1" si="0"/>
        <v/>
      </c>
    </row>
    <row r="18" spans="1:6">
      <c r="A18" s="919"/>
      <c r="B18" s="922"/>
      <c r="C18" s="92" t="str">
        <f>'Solution-based'!C21</f>
        <v># Ultimate Google Workspace (unlimited Acronis Hosted Cloud Storage included*)</v>
      </c>
      <c r="D18" s="86">
        <f>_xlfn.XLOOKUP(C18,'Solution-based'!$C$8:$C$49,'Solution-based'!$E$8:$E$49)</f>
        <v>0</v>
      </c>
      <c r="E18" s="420" t="str">
        <f ca="1">IFERROR(IF(D18&gt;0,SUMIFS(INDIRECT("'Pricelist "&amp;'Solution-based'!$B$3&amp;"'!$"&amp;CHAR(70+$A$2)&amp;"$3:$"&amp;CHAR(70+$A$2)&amp;"$130"),INDIRECT("'Pricelist "&amp;'Solution-based'!$B$3&amp;"'!$O$3:$O$130"),'Calculator +1 tier'!$C18,INDIRECT("'Pricelist "&amp;'Solution-based'!$B$3&amp;"'!$E$3:$E$130"),$D$3),""),"Pricelist not found")</f>
        <v/>
      </c>
      <c r="F18" s="420" t="str">
        <f t="shared" ca="1" si="0"/>
        <v/>
      </c>
    </row>
    <row r="19" spans="1:6">
      <c r="A19" s="919"/>
      <c r="B19" s="922" t="s">
        <v>31</v>
      </c>
      <c r="C19" s="89" t="str">
        <f>'Solution-based'!C23</f>
        <v># Standard In-house MDR Workloads for Solution-Base Licensing, Partner-level (Servers, VMs, Workstations, Hosting Servers)</v>
      </c>
      <c r="D19" s="86">
        <f>_xlfn.XLOOKUP(C19,'Solution-based'!$C$8:$C$49,'Solution-based'!$E$8:$E$49)</f>
        <v>0</v>
      </c>
      <c r="E19" s="420" t="str">
        <f ca="1">IFERROR(IF(D19&gt;0,SUMIFS(INDIRECT("'Pricelist "&amp;'Solution-based'!$B$3&amp;"'!$"&amp;CHAR(70+$A$2)&amp;"$3:$"&amp;CHAR(70+$A$2)&amp;"$130"),INDIRECT("'Pricelist "&amp;'Solution-based'!$B$3&amp;"'!$O$3:$O$130"),'Calculator +1 tier'!$C19),""),"Pricelist not found")</f>
        <v/>
      </c>
      <c r="F19" s="420" t="str">
        <f t="shared" ca="1" si="0"/>
        <v/>
      </c>
    </row>
    <row r="20" spans="1:6">
      <c r="A20" s="919"/>
      <c r="B20" s="922"/>
      <c r="C20" s="36" t="str">
        <f>'Solution-based'!C24</f>
        <v># Advanced In-house MDR Workloads for Solution-Base Licensing, Partner-level (Servers, VMs, Workstations, Hosting Servers)</v>
      </c>
      <c r="D20" s="86">
        <f>_xlfn.XLOOKUP(C20,'Solution-based'!$C$8:$C$49,'Solution-based'!$E$8:$E$49)</f>
        <v>0</v>
      </c>
      <c r="E20" s="420" t="str">
        <f ca="1">IFERROR(IF(D20&gt;0,SUMIFS(INDIRECT("'Pricelist "&amp;'Solution-based'!$B$3&amp;"'!$"&amp;CHAR(70+$A$2)&amp;"$3:$"&amp;CHAR(70+$A$2)&amp;"$130"),INDIRECT("'Pricelist "&amp;'Solution-based'!$B$3&amp;"'!$O$3:$O$130"),'Calculator +1 tier'!$C20),""),"Pricelist not found")</f>
        <v/>
      </c>
      <c r="F20" s="420" t="str">
        <f t="shared" ca="1" si="0"/>
        <v/>
      </c>
    </row>
    <row r="21" spans="1:6">
      <c r="A21" s="919"/>
      <c r="B21" s="922"/>
      <c r="C21" s="36" t="str">
        <f>'Solution-based'!C25</f>
        <v># Standard In-house MDR Workloads for Solution-Base Licensing, Customer-level (Servers, VMs, Workstations, Hosting Servers)</v>
      </c>
      <c r="D21" s="86">
        <f>_xlfn.XLOOKUP(C21,'Solution-based'!$C$8:$C$49,'Solution-based'!$E$8:$E$49)</f>
        <v>0</v>
      </c>
      <c r="E21" s="420" t="str">
        <f ca="1">IFERROR(IF(D21&gt;0,SUMIFS(INDIRECT("'Pricelist "&amp;'Solution-based'!$B$3&amp;"'!$"&amp;CHAR(70+$A$2)&amp;"$3:$"&amp;CHAR(70+$A$2)&amp;"$130"),INDIRECT("'Pricelist "&amp;'Solution-based'!$B$3&amp;"'!$O$3:$O$130"),'Calculator +1 tier'!$C21),""),"Pricelist not found")</f>
        <v/>
      </c>
      <c r="F21" s="420" t="str">
        <f t="shared" ref="F21:F22" ca="1" si="1">IFERROR(D21*E21,"")</f>
        <v/>
      </c>
    </row>
    <row r="22" spans="1:6">
      <c r="A22" s="919"/>
      <c r="B22" s="922"/>
      <c r="C22" s="36" t="str">
        <f>'Solution-based'!C26</f>
        <v># Advanced In-house MDR Workloads for Solution-Base Licensing, Customer-level (Servers, VMs, Workstations, Hosting Servers)</v>
      </c>
      <c r="D22" s="86">
        <f>_xlfn.XLOOKUP(C22,'Solution-based'!$C$8:$C$49,'Solution-based'!$E$8:$E$49)</f>
        <v>0</v>
      </c>
      <c r="E22" s="420" t="str">
        <f ca="1">IFERROR(IF(D22&gt;0,SUMIFS(INDIRECT("'Pricelist "&amp;'Solution-based'!$B$3&amp;"'!$"&amp;CHAR(70+$A$2)&amp;"$3:$"&amp;CHAR(70+$A$2)&amp;"$130"),INDIRECT("'Pricelist "&amp;'Solution-based'!$B$3&amp;"'!$O$3:$O$130"),'Calculator +1 tier'!$C22),""),"Pricelist not found")</f>
        <v/>
      </c>
      <c r="F22" s="420" t="str">
        <f t="shared" ca="1" si="1"/>
        <v/>
      </c>
    </row>
    <row r="23" spans="1:6" ht="14.45" customHeight="1">
      <c r="A23" s="919"/>
      <c r="B23" s="922"/>
      <c r="C23" s="89" t="str">
        <f>'Solution-based'!C27</f>
        <v># Standard 3rd Party MDR Workloads for Solution-Base Licensing (Servers, VMs, Workstations, Hosting Servers)</v>
      </c>
      <c r="D23" s="86">
        <f>_xlfn.XLOOKUP(C23,'Solution-based'!$C$8:$C$49,'Solution-based'!$E$8:$E$49)</f>
        <v>0</v>
      </c>
      <c r="E23" s="420" t="str">
        <f ca="1">IFERROR(IF(D23&gt;0,SUMIFS(INDIRECT("'Pricelist "&amp;'Solution-based'!$B$3&amp;"'!$"&amp;CHAR(70+$A$2)&amp;"$3:$"&amp;CHAR(70+$A$2)&amp;"$130"),INDIRECT("'Pricelist "&amp;'Solution-based'!$B$3&amp;"'!$O$3:$O$130"),'Calculator +1 tier'!$C23),""),"Pricelist not found")</f>
        <v/>
      </c>
      <c r="F23" s="420" t="str">
        <f t="shared" ca="1" si="0"/>
        <v/>
      </c>
    </row>
    <row r="24" spans="1:6">
      <c r="A24" s="919"/>
      <c r="B24" s="922"/>
      <c r="C24" s="36" t="str">
        <f>'Solution-based'!C28</f>
        <v># Advanced 3rd Party MDR Workloads for Solution-Base Licensing (Servers, VMs, Workstations, Hosting Servers)</v>
      </c>
      <c r="D24" s="86">
        <f>_xlfn.XLOOKUP(C24,'Solution-based'!$C$8:$C$49,'Solution-based'!$E$8:$E$49)</f>
        <v>0</v>
      </c>
      <c r="E24" s="420" t="str">
        <f ca="1">IFERROR(IF(D24&gt;0,SUMIFS(INDIRECT("'Pricelist "&amp;'Solution-based'!$B$3&amp;"'!$"&amp;CHAR(70+$A$2)&amp;"$3:$"&amp;CHAR(70+$A$2)&amp;"$130"),INDIRECT("'Pricelist "&amp;'Solution-based'!$B$3&amp;"'!$O$3:$O$130"),'Calculator +1 tier'!$C24),""),"Pricelist not found")</f>
        <v/>
      </c>
      <c r="F24" s="420" t="str">
        <f t="shared" ca="1" si="0"/>
        <v/>
      </c>
    </row>
    <row r="25" spans="1:6">
      <c r="A25" s="919"/>
      <c r="B25" s="139" t="s">
        <v>39</v>
      </c>
      <c r="C25" s="91" t="str">
        <f>'Solution-based'!C29</f>
        <v># Security Awareness Training for Solution-based Licensing (Users)</v>
      </c>
      <c r="D25" s="86">
        <f>_xlfn.XLOOKUP(C25,'Solution-based'!$C$8:$C$49,'Solution-based'!$E$8:$E$49)</f>
        <v>0</v>
      </c>
      <c r="E25" s="420" t="str">
        <f ca="1">IFERROR(IF(D25&gt;0,SUMIFS(INDIRECT("'Pricelist "&amp;'Solution-based'!$B$3&amp;"'!$"&amp;CHAR(70+$A$2)&amp;"$3:$"&amp;CHAR(70+$A$2)&amp;"$130"),INDIRECT("'Pricelist "&amp;'Solution-based'!$B$3&amp;"'!$O$3:$O$130"),'Calculator +1 tier'!$C25),""),"Pricelist not found")</f>
        <v/>
      </c>
      <c r="F25" s="420" t="str">
        <f t="shared" ca="1" si="0"/>
        <v/>
      </c>
    </row>
    <row r="26" spans="1:6" ht="27.95">
      <c r="A26" s="919"/>
      <c r="B26" s="139" t="s">
        <v>567</v>
      </c>
      <c r="C26" s="36" t="str">
        <f>'Solution-based'!C30</f>
        <v>Acronis Cloud Storage at Acronis Datacenter (for Solution-based Licensing overages)</v>
      </c>
      <c r="D26" s="86">
        <f>_xlfn.XLOOKUP(C26,'Solution-based'!$C$8:$C$49,'Solution-based'!$E$8:$E$49)</f>
        <v>0</v>
      </c>
      <c r="E26" s="420" t="str">
        <f ca="1">IFERROR(IF(D26&gt;0,SUMIFS(INDIRECT("'Pricelist "&amp;'Solution-based'!$B$3&amp;"'!$"&amp;CHAR(70+$A$2)&amp;"$3:$"&amp;CHAR(70+$A$2)&amp;"$130"),INDIRECT("'Pricelist "&amp;'Solution-based'!$B$3&amp;"'!$O$3:$O$130"),'Calculator +1 tier'!$C26,INDIRECT("'Pricelist "&amp;'Solution-based'!$B$3&amp;"'!$E$3:$E$130"),$D$3),""),"Pricelist not found")</f>
        <v/>
      </c>
      <c r="F26" s="420" t="str">
        <f ca="1">IFERROR(D26*E26,"")</f>
        <v/>
      </c>
    </row>
    <row r="27" spans="1:6">
      <c r="A27" s="919"/>
      <c r="B27" s="922" t="s">
        <v>44</v>
      </c>
      <c r="C27" s="91" t="str">
        <f>'Solution-based'!C31</f>
        <v>Solution-based licensing - Backup Geo-redundant - Acronis Hosted Storage</v>
      </c>
      <c r="D27" s="86">
        <f>_xlfn.XLOOKUP(C27,'Solution-based'!$C$8:$C$49,'Solution-based'!$E$8:$E$49)</f>
        <v>0</v>
      </c>
      <c r="E27" s="420" t="str">
        <f ca="1">IF(AND(D27&gt;0,$D$3="G2"),"Not available for G2",IFERROR(IF(D27&gt;0,SUMIFS(INDIRECT("'Pricelist "&amp;'Solution-based'!$B$3&amp;"'!$"&amp;CHAR(70+$A$2)&amp;"$3:$"&amp;CHAR(70+$A$2)&amp;"$130"),INDIRECT("'Pricelist "&amp;'Solution-based'!$B$3&amp;"'!$O$3:$O$130"),'Calculator +1 tier'!$C27),""),"Pricelist not found"))</f>
        <v/>
      </c>
      <c r="F27" s="420" t="str">
        <f ca="1">IFERROR(D27*E27,"")</f>
        <v/>
      </c>
    </row>
    <row r="28" spans="1:6">
      <c r="A28" s="919"/>
      <c r="B28" s="922"/>
      <c r="C28" s="36" t="str">
        <f>'Solution-based'!C32</f>
        <v>Solution-based licensing - # Geo-redundant Microsoft 365 seat (unlimited Acronis Hosted Cloud Storage included*)</v>
      </c>
      <c r="D28" s="86">
        <f>_xlfn.XLOOKUP(C28,'Solution-based'!$C$8:$C$49,'Solution-based'!$E$8:$E$49)</f>
        <v>0</v>
      </c>
      <c r="E28" s="420" t="str">
        <f ca="1">IF(AND(D28&gt;0,$D$3="G2"),"Not available for G2",IFERROR(IF(D28&gt;0,SUMIFS(INDIRECT("'Pricelist "&amp;'Solution-based'!$B$3&amp;"'!$"&amp;CHAR(70+$A$2)&amp;"$3:$"&amp;CHAR(70+$A$2)&amp;"$130"),INDIRECT("'Pricelist "&amp;'Solution-based'!$B$3&amp;"'!$O$3:$O$130"),'Calculator +1 tier'!$C28),""),"Pricelist not found"))</f>
        <v/>
      </c>
      <c r="F28" s="420" t="str">
        <f t="shared" ca="1" si="0"/>
        <v/>
      </c>
    </row>
    <row r="29" spans="1:6">
      <c r="A29" s="919"/>
      <c r="B29" s="922"/>
      <c r="C29" s="91" t="str">
        <f>'Solution-based'!C33</f>
        <v>Solution-based licensing - # Geo-redundant Google Workspace seat (unlimited Acronis Hosted Cloud Storage included*)</v>
      </c>
      <c r="D29" s="86">
        <f>_xlfn.XLOOKUP(C29,'Solution-based'!$C$8:$C$49,'Solution-based'!$E$8:$E$49)</f>
        <v>0</v>
      </c>
      <c r="E29" s="420" t="str">
        <f ca="1">IF(AND(D29&gt;0,$D$3="G2"),"Not available for G2",IFERROR(IF(D29&gt;0,SUMIFS(INDIRECT("'Pricelist "&amp;'Solution-based'!$B$3&amp;"'!$"&amp;CHAR(70+$A$2)&amp;"$3:$"&amp;CHAR(70+$A$2)&amp;"$130"),INDIRECT("'Pricelist "&amp;'Solution-based'!$B$3&amp;"'!$O$3:$O$130"),'Calculator +1 tier'!$C29),""),"Pricelist not found"))</f>
        <v/>
      </c>
      <c r="F29" s="420" t="str">
        <f t="shared" ca="1" si="0"/>
        <v/>
      </c>
    </row>
    <row r="30" spans="1:6">
      <c r="A30" s="919"/>
      <c r="B30" s="922" t="s">
        <v>48</v>
      </c>
      <c r="C30" s="92" t="str">
        <f>'Solution-based'!C34</f>
        <v>Monthly Compute Point Consumption for BDR/Ultimate</v>
      </c>
      <c r="D30" s="341" t="str">
        <f>_xlfn.XLOOKUP(C30,'Solution-based'!$C$8:$C$49,'Solution-based'!$E$8:$E$49)</f>
        <v/>
      </c>
      <c r="E30" s="420">
        <f ca="1">IFERROR(IF(D30&gt;0,SUMIFS(INDIRECT("'Pricelist "&amp;'Solution-based'!$B$3&amp;"'!$"&amp;CHAR(70+$A$2)&amp;"$3:$"&amp;CHAR(70+$A$2)&amp;"$130"),INDIRECT("'Pricelist "&amp;'Solution-based'!$B$3&amp;"'!$O$3:$O$130"),'Calculator +1 tier'!$C30),""),"Pricelist not found")</f>
        <v>0</v>
      </c>
      <c r="F30" s="420" t="str">
        <f ca="1">IFERROR(D30*E30,"")</f>
        <v/>
      </c>
    </row>
    <row r="31" spans="1:6">
      <c r="A31" s="920"/>
      <c r="B31" s="924"/>
      <c r="C31" s="89" t="str">
        <f>'Solution-based'!C35</f>
        <v>Public IPs for BDR/Ultimate</v>
      </c>
      <c r="D31" s="86">
        <f>_xlfn.XLOOKUP(C31,'Solution-based'!$C$8:$C$49,'Solution-based'!$E$8:$E$49)</f>
        <v>0</v>
      </c>
      <c r="E31" s="420" t="str">
        <f ca="1">IFERROR(IF(D31&gt;0,SUMIFS(INDIRECT("'Pricelist "&amp;'Solution-based'!$B$3&amp;"'!$"&amp;CHAR(70+$A$2)&amp;"$3:$"&amp;CHAR(70+$A$2)&amp;"$130"),INDIRECT("'Pricelist "&amp;'Solution-based'!$B$3&amp;"'!$O$3:$O$130"),'Calculator +1 tier'!$C31),""),"Pricelist not found")</f>
        <v/>
      </c>
      <c r="F31" s="420" t="str">
        <f t="shared" ca="1" si="0"/>
        <v/>
      </c>
    </row>
    <row r="32" spans="1:6">
      <c r="A32" s="923" t="s">
        <v>61</v>
      </c>
      <c r="B32" s="83" t="s">
        <v>62</v>
      </c>
      <c r="C32" s="91" t="str">
        <f>'Solution-based'!C43</f>
        <v># Cyber Employee Agents</v>
      </c>
      <c r="D32" s="86">
        <f>_xlfn.XLOOKUP(C32,'Solution-based'!$C$8:$C$49,'Solution-based'!$E$8:$E$49)</f>
        <v>0</v>
      </c>
      <c r="E32" s="420" t="str">
        <f ca="1">IF(AND(D32&gt;0,$D$3="G2"),"Not available for G2",IFERROR(IF(D32&gt;0,SUMIFS(INDIRECT("'Pricelist "&amp;'Solution-based'!$B$3&amp;"'!$"&amp;CHAR(70+$A$2)&amp;"$3:$"&amp;CHAR(70+$A$2)&amp;"$130"),INDIRECT("'Pricelist "&amp;'Solution-based'!$B$3&amp;"'!$O$3:$O$130"),'Calculator +1 tier'!$C32),""),"Pricelist not found"))</f>
        <v/>
      </c>
      <c r="F32" s="420" t="str">
        <f t="shared" ca="1" si="0"/>
        <v/>
      </c>
    </row>
    <row r="33" spans="1:6">
      <c r="A33" s="923"/>
      <c r="B33" s="83"/>
      <c r="C33" s="91" t="str">
        <f>'Solution-based'!C44</f>
        <v># Cyber Employee Usage Units</v>
      </c>
      <c r="D33" s="86">
        <f>_xlfn.XLOOKUP(C33,'Solution-based'!$C$8:$C$49,'Solution-based'!$E$8:$E$49)</f>
        <v>0</v>
      </c>
      <c r="E33" s="420" t="str">
        <f ca="1">IF(AND(D33&gt;0,$D$3="G2"),"Not available for G2",IFERROR(IF(D33&gt;0,SUMIFS(INDIRECT("'Pricelist "&amp;'Solution-based'!$B$3&amp;"'!$"&amp;CHAR(70+$A$2)&amp;"$3:$"&amp;CHAR(70+$A$2)&amp;"$130"),INDIRECT("'Pricelist "&amp;'Solution-based'!$B$3&amp;"'!$O$3:$O$130"),'Calculator +1 tier'!$C33),""),"Pricelist not found"))</f>
        <v/>
      </c>
      <c r="F33" s="420" t="str">
        <f t="shared" ca="1" si="0"/>
        <v/>
      </c>
    </row>
    <row r="34" spans="1:6">
      <c r="A34" s="923" t="s">
        <v>52</v>
      </c>
      <c r="B34" s="471" t="s">
        <v>53</v>
      </c>
      <c r="C34" s="472" t="str">
        <f>'Solution-based'!C37</f>
        <v># Physical Cores, Standard Support Included</v>
      </c>
      <c r="D34" s="473">
        <f>_xlfn.XLOOKUP(C34,'Solution-based'!$C$8:$C$49,'Solution-based'!$E$8:$E$49)</f>
        <v>0</v>
      </c>
      <c r="E34" s="474" t="str">
        <f ca="1">IFERROR(IF(D34&gt;0,SUMIFS(INDIRECT("'Pricelist "&amp;'Solution-based'!$B$3&amp;"'!$"&amp;CHAR(70+$A$2)&amp;"$3:$"&amp;CHAR(70+$A$2)&amp;"$130"),INDIRECT("'Pricelist "&amp;'Solution-based'!$B$3&amp;"'!$O$3:$O$130"),'Calculator +1 tier'!$C34),""),"Pricelist not found")</f>
        <v/>
      </c>
      <c r="F34" s="474" t="str">
        <f t="shared" ca="1" si="0"/>
        <v/>
      </c>
    </row>
    <row r="35" spans="1:6">
      <c r="A35" s="923"/>
      <c r="B35" s="929" t="s">
        <v>55</v>
      </c>
      <c r="C35" s="89" t="str">
        <f>'Solution-based'!C38</f>
        <v># Used Standard vCPUs</v>
      </c>
      <c r="D35" s="475">
        <f>_xlfn.XLOOKUP(C35,'Solution-based'!$C$8:$C$49,'Solution-based'!$E$8:$E$49)</f>
        <v>0</v>
      </c>
      <c r="E35" s="476" t="str">
        <f ca="1">IFERROR(IF(D35&gt;0,SUMIFS(INDIRECT("'Pricelist "&amp;'Solution-based'!$B$3&amp;"'!$"&amp;CHAR(70+$A$2)&amp;"$3:$"&amp;CHAR(70+$A$2)&amp;"$130"),INDIRECT("'Pricelist "&amp;'Solution-based'!$B$3&amp;"'!$O$3:$O$130"),'Calculator +1 tier'!$C35),""),"Pricelist not found")</f>
        <v/>
      </c>
      <c r="F35" s="476" t="str">
        <f t="shared" ca="1" si="0"/>
        <v/>
      </c>
    </row>
    <row r="36" spans="1:6">
      <c r="A36" s="923"/>
      <c r="B36" s="930"/>
      <c r="C36" s="91" t="str">
        <f>'Solution-based'!C39</f>
        <v># GB of used Standard RAM</v>
      </c>
      <c r="D36" s="86">
        <f>_xlfn.XLOOKUP(C36,'Solution-based'!$C$8:$C$49,'Solution-based'!$E$8:$E$49)</f>
        <v>0</v>
      </c>
      <c r="E36" s="420" t="str">
        <f ca="1">IFERROR(IF(D36&gt;0,SUMIFS(INDIRECT("'Pricelist "&amp;'Solution-based'!$B$3&amp;"'!$"&amp;CHAR(70+$A$2)&amp;"$3:$"&amp;CHAR(70+$A$2)&amp;"$130"),INDIRECT("'Pricelist "&amp;'Solution-based'!$B$3&amp;"'!$O$3:$O$130"),'Calculator +1 tier'!$C36),""),"Pricelist not found")</f>
        <v/>
      </c>
      <c r="F36" s="420" t="str">
        <f t="shared" ca="1" si="0"/>
        <v/>
      </c>
    </row>
    <row r="37" spans="1:6">
      <c r="A37" s="923"/>
      <c r="B37" s="930"/>
      <c r="C37" s="91" t="str">
        <f>'Solution-based'!C40</f>
        <v>Cyber Frame Cloud Block Storage</v>
      </c>
      <c r="D37" s="86">
        <f>_xlfn.XLOOKUP(C37,'Solution-based'!$C$8:$C$49,'Solution-based'!$E$8:$E$49)</f>
        <v>0</v>
      </c>
      <c r="E37" s="420" t="str">
        <f ca="1">IFERROR(IF(D37&gt;0,SUMIFS(INDIRECT("'Pricelist "&amp;'Solution-based'!$B$3&amp;"'!$"&amp;CHAR(70+$A$2)&amp;"$3:$"&amp;CHAR(70+$A$2)&amp;"$130"),INDIRECT("'Pricelist "&amp;'Solution-based'!$B$3&amp;"'!$O$3:$O$130"),'Calculator +1 tier'!$C37),""),"Pricelist not found")</f>
        <v/>
      </c>
      <c r="F37" s="420" t="str">
        <f t="shared" ca="1" si="0"/>
        <v/>
      </c>
    </row>
    <row r="38" spans="1:6">
      <c r="A38" s="923"/>
      <c r="B38" s="930"/>
      <c r="C38" s="91" t="e">
        <f>'Solution-based'!#REF!</f>
        <v>#REF!</v>
      </c>
      <c r="D38" s="86" t="e">
        <f>_xlfn.XLOOKUP(C38,'Solution-based'!$C$8:$C$49,'Solution-based'!$E$8:$E$49)</f>
        <v>#REF!</v>
      </c>
      <c r="E38" s="420" t="str">
        <f ca="1">IFERROR(IF(D38&gt;0,SUMIFS(INDIRECT("'Pricelist "&amp;'Solution-based'!$B$3&amp;"'!$"&amp;CHAR(70+$A$2)&amp;"$3:$"&amp;CHAR(70+$A$2)&amp;"$130"),INDIRECT("'Pricelist "&amp;'Solution-based'!$B$3&amp;"'!$O$3:$O$130"),'Calculator +1 tier'!$C38),""),"Pricelist not found")</f>
        <v>Pricelist not found</v>
      </c>
      <c r="F38" s="420" t="str">
        <f t="shared" ref="F38" ca="1" si="2">IFERROR(D38*E38,"")</f>
        <v/>
      </c>
    </row>
    <row r="39" spans="1:6">
      <c r="A39" s="923"/>
      <c r="B39" s="930"/>
      <c r="C39" s="91" t="str">
        <f>'Solution-based'!C41</f>
        <v># Public IPs for Cyber Frame Cloud</v>
      </c>
      <c r="D39" s="86">
        <f>_xlfn.XLOOKUP(C39,'Solution-based'!$C$8:$C$49,'Solution-based'!$E$8:$E$49)</f>
        <v>0</v>
      </c>
      <c r="E39" s="420" t="str">
        <f ca="1">IFERROR(IF(D39&gt;0,SUMIFS(INDIRECT("'Pricelist "&amp;'Solution-based'!$B$3&amp;"'!$"&amp;CHAR(70+$A$2)&amp;"$3:$"&amp;CHAR(70+$A$2)&amp;"$130"),INDIRECT("'Pricelist "&amp;'Solution-based'!$B$3&amp;"'!$O$3:$O$130"),'Calculator +1 tier'!$C39),""),"Pricelist not found")</f>
        <v/>
      </c>
      <c r="F39" s="420" t="str">
        <f ca="1">IFERROR(D39*E39,"")</f>
        <v/>
      </c>
    </row>
    <row r="40" spans="1:6">
      <c r="A40" s="923"/>
      <c r="B40" s="931"/>
      <c r="C40" s="160" t="str">
        <f>'Solution-based'!C42</f>
        <v># Windows Licenses (per licensed vCPU)</v>
      </c>
      <c r="D40" s="477">
        <f>_xlfn.XLOOKUP(C40,'Solution-based'!$C$8:$C$49,'Solution-based'!$E$8:$E$49)</f>
        <v>0</v>
      </c>
      <c r="E40" s="478" t="str">
        <f ca="1">IFERROR(IF(D40&gt;0,SUMIFS(INDIRECT("'Pricelist "&amp;'Solution-based'!$B$3&amp;"'!$"&amp;CHAR(70+$A$2)&amp;"$3:$"&amp;CHAR(70+$A$2)&amp;"$130"),INDIRECT("'Pricelist "&amp;'Solution-based'!$B$3&amp;"'!$O$3:$O$130"),'Calculator +1 tier'!$C40),""),"Pricelist not found")</f>
        <v/>
      </c>
      <c r="F40" s="478" t="str">
        <f t="shared" ca="1" si="0"/>
        <v/>
      </c>
    </row>
    <row r="41" spans="1:6" ht="18">
      <c r="A41" s="159"/>
      <c r="B41" s="922" t="s">
        <v>400</v>
      </c>
      <c r="C41" s="91" t="str">
        <f>'Solution-based'!C45</f>
        <v># of Cyber Files Users</v>
      </c>
      <c r="D41" s="86">
        <f>_xlfn.XLOOKUP(C41,'Solution-based'!$C$8:$C$49,'Solution-based'!$E$8:$E$49)</f>
        <v>0</v>
      </c>
      <c r="E41" s="420" t="str">
        <f ca="1">IFERROR(IF(D41&gt;0,SUMIFS(INDIRECT("'Pricelist "&amp;'Solution-based'!$B$3&amp;"'!$"&amp;CHAR(70+$A$2)&amp;"$3:$"&amp;CHAR(70+$A$2)&amp;"$130"),INDIRECT("'Pricelist "&amp;'Solution-based'!$B$3&amp;"'!$O$3:$O$130"),'Calculator +1 tier'!$C41),""),"Pricelist not found")</f>
        <v/>
      </c>
      <c r="F41" s="420" t="str">
        <f t="shared" ca="1" si="0"/>
        <v/>
      </c>
    </row>
    <row r="42" spans="1:6" ht="18">
      <c r="A42" s="159"/>
      <c r="B42" s="922"/>
      <c r="C42" s="91" t="str">
        <f>'Solution-based'!C46</f>
        <v>Cyber Files Cloud Acronis Hosted Storage (for per User Model)</v>
      </c>
      <c r="D42" s="86">
        <f>_xlfn.XLOOKUP(C42,'Solution-based'!$C$8:$C$49,'Solution-based'!$E$8:$E$49)</f>
        <v>0</v>
      </c>
      <c r="E42" s="420" t="str">
        <f ca="1">IFERROR(IF(D42&gt;0,SUMIFS(INDIRECT("'Pricelist "&amp;'Solution-based'!$B$3&amp;"'!$"&amp;CHAR(70+$A$2)&amp;"$3:$"&amp;CHAR(70+$A$2)&amp;"$130"),INDIRECT("'Pricelist "&amp;'Solution-based'!$B$3&amp;"'!$O$3:$O$130"),'Calculator +1 tier'!$C42,INDIRECT("'Pricelist "&amp;'Solution-based'!$B$3&amp;"'!$E$3:$E$130"),$D$3),""),"Pricelist not found")</f>
        <v/>
      </c>
      <c r="F42" s="420" t="str">
        <f t="shared" ca="1" si="0"/>
        <v/>
      </c>
    </row>
    <row r="43" spans="1:6" ht="18">
      <c r="A43" s="159"/>
      <c r="B43" s="922"/>
      <c r="C43" s="91" t="str">
        <f>'Solution-based'!C47</f>
        <v>Cyber Files Cloud Acronis Hosted Storage (for per GB Model)</v>
      </c>
      <c r="D43" s="86">
        <f>_xlfn.XLOOKUP(C43,'Solution-based'!$C$8:$C$49,'Solution-based'!$E$8:$E$49)</f>
        <v>0</v>
      </c>
      <c r="E43" s="420" t="str">
        <f ca="1">IFERROR(IF(D43&gt;0,SUMIFS(INDIRECT("'Pricelist "&amp;'Solution-based'!$B$3&amp;"'!$"&amp;CHAR(70+$A$2)&amp;"$3:$"&amp;CHAR(70+$A$2)&amp;"$130"),INDIRECT("'Pricelist "&amp;'Solution-based'!$B$3&amp;"'!$O$3:$O$130"),'Calculator +1 tier'!$C43,INDIRECT("'Pricelist "&amp;'Solution-based'!$B$3&amp;"'!$E$3:$E$130"),$D$3),""),"Pricelist not found")</f>
        <v/>
      </c>
      <c r="F43" s="420" t="str">
        <f t="shared" ca="1" si="0"/>
        <v/>
      </c>
    </row>
    <row r="44" spans="1:6" ht="18">
      <c r="A44" s="159"/>
      <c r="B44" s="922"/>
      <c r="C44" s="91" t="str">
        <f>'Solution-based'!C48</f>
        <v>Cyber Files Cloud Service Provider Hosted Storage</v>
      </c>
      <c r="D44" s="86">
        <f>_xlfn.XLOOKUP(C44,'Solution-based'!$C$8:$C$49,'Solution-based'!$E$8:$E$49)</f>
        <v>0</v>
      </c>
      <c r="E44" s="420" t="str">
        <f ca="1">IFERROR(IF(D44&gt;0,SUMIFS(INDIRECT("'Pricelist "&amp;'Solution-based'!$B$3&amp;"'!$"&amp;CHAR(70+$A$2)&amp;"$3:$"&amp;CHAR(70+$A$2)&amp;"$130"),INDIRECT("'Pricelist "&amp;'Solution-based'!$B$3&amp;"'!$O$3:$O$130"),'Calculator +1 tier'!$C44),""),"Pricelist not found")</f>
        <v/>
      </c>
      <c r="F44" s="420" t="str">
        <f t="shared" ca="1" si="0"/>
        <v/>
      </c>
    </row>
    <row r="45" spans="1:6" ht="18">
      <c r="A45" s="159"/>
      <c r="B45" s="82" t="s">
        <v>568</v>
      </c>
      <c r="C45" s="160" t="str">
        <f>'Solution-based'!C49</f>
        <v>Storage Required for S3/iSCSI/NFS/Compute (Per GB)</v>
      </c>
      <c r="D45" s="86">
        <f>_xlfn.XLOOKUP(C45,'Solution-based'!$C$8:$C$49,'Solution-based'!$E$8:$E$49)</f>
        <v>0</v>
      </c>
      <c r="E45" s="420" t="str">
        <f ca="1">IFERROR(IF(D45&gt;0,SUMIFS(INDIRECT("'Pricelist "&amp;'Solution-based'!$B$3&amp;"'!$"&amp;CHAR(70+$A$2)&amp;"$3:$"&amp;CHAR(70+$A$2)&amp;"$130"),INDIRECT("'Pricelist "&amp;'Solution-based'!$B$3&amp;"'!$O$3:$O$130"),'Calculator +1 tier'!$C45),""),"Pricelist not found")</f>
        <v/>
      </c>
      <c r="F45" s="420" t="str">
        <f t="shared" ca="1" si="0"/>
        <v/>
      </c>
    </row>
    <row r="46" spans="1:6" ht="14.45" customHeight="1">
      <c r="A46" s="904" t="s">
        <v>569</v>
      </c>
      <c r="B46" s="910" t="s">
        <v>143</v>
      </c>
      <c r="C46" s="91" t="s">
        <v>106</v>
      </c>
      <c r="D46" s="19">
        <f>_xlfn.XLOOKUP(C46,'Service-based'!$C$6:$C$72,'Service-based'!$E$6:$E$72)</f>
        <v>0</v>
      </c>
      <c r="E46" s="420" t="str">
        <f ca="1">IFERROR(IF(D46&gt;0,SUMIFS(INDIRECT("'Pricelist "&amp;'Solution-based'!$B$3&amp;"'!$"&amp;CHAR(70+$A$2)&amp;"$3:$"&amp;CHAR(70+$A$2)&amp;"$130"),INDIRECT("'Pricelist "&amp;'Solution-based'!$B$3&amp;"'!$O$3:$O$130"),'Calculator +1 tier'!$C46),""),"Pricelist not found")</f>
        <v/>
      </c>
      <c r="F46" s="420" t="str">
        <f t="shared" ref="F46:F62" ca="1" si="3">IFERROR(D46*E46,"")</f>
        <v/>
      </c>
    </row>
    <row r="47" spans="1:6" ht="14.45" customHeight="1">
      <c r="A47" s="697"/>
      <c r="B47" s="911"/>
      <c r="C47" s="36" t="s">
        <v>107</v>
      </c>
      <c r="D47" s="19">
        <f>_xlfn.XLOOKUP(C47,'Service-based'!$C$6:$C$72,'Service-based'!$E$6:$E$72)</f>
        <v>0</v>
      </c>
      <c r="E47" s="420" t="str">
        <f ca="1">IFERROR(IF(D47&gt;0,SUMIFS(INDIRECT("'Pricelist "&amp;'Solution-based'!$B$3&amp;"'!$"&amp;CHAR(70+$A$2)&amp;"$3:$"&amp;CHAR(70+$A$2)&amp;"$130"),INDIRECT("'Pricelist "&amp;'Solution-based'!$B$3&amp;"'!$O$3:$O$130"),'Calculator +1 tier'!$C47),""),"Pricelist not found")</f>
        <v/>
      </c>
      <c r="F47" s="420" t="str">
        <f t="shared" ca="1" si="3"/>
        <v/>
      </c>
    </row>
    <row r="48" spans="1:6" ht="14.45" customHeight="1">
      <c r="A48" s="697"/>
      <c r="B48" s="911"/>
      <c r="C48" s="91" t="s">
        <v>108</v>
      </c>
      <c r="D48" s="19">
        <f>_xlfn.XLOOKUP(C48,'Service-based'!$C$6:$C$72,'Service-based'!$E$6:$E$72)</f>
        <v>0</v>
      </c>
      <c r="E48" s="420" t="str">
        <f ca="1">IFERROR(IF(D48&gt;0,SUMIFS(INDIRECT("'Pricelist "&amp;'Solution-based'!$B$3&amp;"'!$"&amp;CHAR(70+$A$2)&amp;"$3:$"&amp;CHAR(70+$A$2)&amp;"$130"),INDIRECT("'Pricelist "&amp;'Solution-based'!$B$3&amp;"'!$O$3:$O$130"),'Calculator +1 tier'!$C48),""),"Pricelist not found")</f>
        <v/>
      </c>
      <c r="F48" s="420" t="str">
        <f ca="1">IFERROR(D48*E48,"")</f>
        <v/>
      </c>
    </row>
    <row r="49" spans="1:6" ht="14.45" customHeight="1">
      <c r="A49" s="697"/>
      <c r="B49" s="911"/>
      <c r="C49" s="91" t="s">
        <v>109</v>
      </c>
      <c r="D49" s="19">
        <f>_xlfn.XLOOKUP(C49,'Service-based'!$C$6:$C$72,'Service-based'!$E$6:$E$72)</f>
        <v>0</v>
      </c>
      <c r="E49" s="420" t="str">
        <f ca="1">IFERROR(IF(D49&gt;0,SUMIFS(INDIRECT("'Pricelist "&amp;'Solution-based'!$B$3&amp;"'!$"&amp;CHAR(70+$A$2)&amp;"$3:$"&amp;CHAR(70+$A$2)&amp;"$130"),INDIRECT("'Pricelist "&amp;'Solution-based'!$B$3&amp;"'!$O$3:$O$130"),'Calculator +1 tier'!$C49),""),"Pricelist not found")</f>
        <v/>
      </c>
      <c r="F49" s="420" t="str">
        <f ca="1">IFERROR(D49*E49,"")</f>
        <v/>
      </c>
    </row>
    <row r="50" spans="1:6" ht="14.45" customHeight="1">
      <c r="A50" s="697"/>
      <c r="B50" s="911"/>
      <c r="C50" s="36" t="s">
        <v>110</v>
      </c>
      <c r="D50" s="19">
        <f>_xlfn.XLOOKUP(C50,'Service-based'!$C$6:$C$72,'Service-based'!$E$6:$E$72)</f>
        <v>0</v>
      </c>
      <c r="E50" s="420" t="str">
        <f ca="1">IFERROR(IF(D50&gt;0,SUMIFS(INDIRECT("'Pricelist "&amp;'Solution-based'!$B$3&amp;"'!$"&amp;CHAR(70+$A$2)&amp;"$3:$"&amp;CHAR(70+$A$2)&amp;"$130"),INDIRECT("'Pricelist "&amp;'Solution-based'!$B$3&amp;"'!$O$3:$O$130"),'Calculator +1 tier'!$C50),""),"Pricelist not found")</f>
        <v/>
      </c>
      <c r="F50" s="420" t="str">
        <f t="shared" ca="1" si="3"/>
        <v/>
      </c>
    </row>
    <row r="51" spans="1:6" ht="14.45" customHeight="1">
      <c r="A51" s="697"/>
      <c r="B51" s="911"/>
      <c r="C51" s="91" t="s">
        <v>111</v>
      </c>
      <c r="D51" s="19">
        <f>_xlfn.XLOOKUP(C51,'Service-based'!$C$6:$C$72,'Service-based'!$E$6:$E$72)</f>
        <v>0</v>
      </c>
      <c r="E51" s="420" t="str">
        <f ca="1">IFERROR(IF(D51&gt;0,SUMIFS(INDIRECT("'Pricelist "&amp;'Solution-based'!$B$3&amp;"'!$"&amp;CHAR(70+$A$2)&amp;"$3:$"&amp;CHAR(70+$A$2)&amp;"$130"),INDIRECT("'Pricelist "&amp;'Solution-based'!$B$3&amp;"'!$O$3:$O$130"),'Calculator +1 tier'!$C51,INDIRECT("'Pricelist "&amp;'Solution-based'!$B$3&amp;"'!$E$3:$E$130"),$D$3),""),"Pricelist not found")</f>
        <v/>
      </c>
      <c r="F51" s="420" t="str">
        <f t="shared" ca="1" si="3"/>
        <v/>
      </c>
    </row>
    <row r="52" spans="1:6" ht="14.45" customHeight="1">
      <c r="A52" s="697"/>
      <c r="B52" s="911"/>
      <c r="C52" s="92" t="s">
        <v>112</v>
      </c>
      <c r="D52" s="19">
        <f>_xlfn.XLOOKUP(C52,'Service-based'!$C$6:$C$72,'Service-based'!$E$6:$E$72)</f>
        <v>0</v>
      </c>
      <c r="E52" s="420" t="str">
        <f ca="1">IFERROR(IF(D52&gt;0,SUMIFS(INDIRECT("'Pricelist "&amp;'Solution-based'!$B$3&amp;"'!$"&amp;CHAR(70+$A$2)&amp;"$3:$"&amp;CHAR(70+$A$2)&amp;"$130"),INDIRECT("'Pricelist "&amp;'Solution-based'!$B$3&amp;"'!$O$3:$O$130"),'Calculator +1 tier'!$C52),""),"Pricelist not found")</f>
        <v/>
      </c>
      <c r="F52" s="420" t="str">
        <f t="shared" ca="1" si="3"/>
        <v/>
      </c>
    </row>
    <row r="53" spans="1:6" ht="14.45" customHeight="1">
      <c r="A53" s="697"/>
      <c r="B53" s="911"/>
      <c r="C53" s="92" t="str">
        <f>'Service-based'!C29</f>
        <v># Entra ID Seats (unlimited Acronis Hosted Cloud Storage included*)</v>
      </c>
      <c r="D53" s="19">
        <f>'Service-based'!E29</f>
        <v>0</v>
      </c>
      <c r="E53" s="431">
        <v>0</v>
      </c>
      <c r="F53" s="430">
        <f>IFERROR(D53*E53,"")</f>
        <v>0</v>
      </c>
    </row>
    <row r="54" spans="1:6" ht="14.45" customHeight="1">
      <c r="A54" s="697"/>
      <c r="B54" s="911"/>
      <c r="C54" s="92" t="str">
        <f>'Service-based'!C30</f>
        <v># Entra ID Seats (for SP/Azure/Google Hosted Storage)</v>
      </c>
      <c r="D54" s="19">
        <f>'Service-based'!E30</f>
        <v>0</v>
      </c>
      <c r="E54" s="431">
        <v>0</v>
      </c>
      <c r="F54" s="430">
        <f t="shared" si="3"/>
        <v>0</v>
      </c>
    </row>
    <row r="55" spans="1:6" ht="14.45" customHeight="1">
      <c r="A55" s="697"/>
      <c r="B55" s="911"/>
      <c r="C55" s="91" t="s">
        <v>115</v>
      </c>
      <c r="D55" s="19">
        <f>_xlfn.XLOOKUP(C55,'Service-based'!$C$6:$C$72,'Service-based'!$E$6:$E$72)</f>
        <v>0</v>
      </c>
      <c r="E55" s="420" t="str">
        <f ca="1">IFERROR(IF(D55&gt;0,SUMIFS(INDIRECT("'Pricelist "&amp;'Solution-based'!$B$3&amp;"'!$"&amp;CHAR(70+$A$2)&amp;"$3:$"&amp;CHAR(70+$A$2)&amp;"$130"),INDIRECT("'Pricelist "&amp;'Solution-based'!$B$3&amp;"'!$O$3:$O$130"),'Calculator +1 tier'!$C55,INDIRECT("'Pricelist "&amp;'Solution-based'!$B$3&amp;"'!$E$3:$E$130"),$D$3),""),"Pricelist not found")</f>
        <v/>
      </c>
      <c r="F55" s="420" t="str">
        <f ca="1">IFERROR(D55*E55,"")</f>
        <v/>
      </c>
    </row>
    <row r="56" spans="1:6" ht="14.45" customHeight="1">
      <c r="A56" s="697"/>
      <c r="B56" s="911"/>
      <c r="C56" s="91" t="str">
        <f>'Service-based'!C32</f>
        <v># Google Workspace Seats (for SP/Azure/Google Hosted Storage)</v>
      </c>
      <c r="D56" s="19">
        <f>_xlfn.XLOOKUP(C56,'Service-based'!$C$6:$C$72,'Service-based'!$E$6:$E$72)</f>
        <v>0</v>
      </c>
      <c r="E56" s="420" t="str">
        <f ca="1">IFERROR(IF(D56&gt;0,SUMIFS(INDIRECT("'Pricelist "&amp;'Solution-based'!$B$3&amp;"'!$"&amp;CHAR(70+$A$2)&amp;"$3:$"&amp;CHAR(70+$A$2)&amp;"$130"),INDIRECT("'Pricelist "&amp;'Solution-based'!$B$3&amp;"'!$O$3:$O$130"),'Calculator +1 tier'!$C56),""),"Pricelist not found")</f>
        <v/>
      </c>
      <c r="F56" s="420" t="str">
        <f t="shared" ca="1" si="3"/>
        <v/>
      </c>
    </row>
    <row r="57" spans="1:6" ht="14.45" customHeight="1">
      <c r="A57" s="697"/>
      <c r="B57" s="911"/>
      <c r="C57" s="36" t="s">
        <v>117</v>
      </c>
      <c r="D57" s="19">
        <f>_xlfn.XLOOKUP(C57,'Service-based'!$C$6:$C$72,'Service-based'!$E$6:$E$72)</f>
        <v>0</v>
      </c>
      <c r="E57" s="420" t="str">
        <f ca="1">IFERROR(IF(D57&gt;0,SUMIFS(INDIRECT("'Pricelist "&amp;'Solution-based'!$B$3&amp;"'!$"&amp;CHAR(70+$A$2)&amp;"$3:$"&amp;CHAR(70+$A$2)&amp;"$130"),INDIRECT("'Pricelist "&amp;'Solution-based'!$B$3&amp;"'!$O$3:$O$130"),'Calculator +1 tier'!$C57),""),"Pricelist not found")</f>
        <v/>
      </c>
      <c r="F57" s="420" t="str">
        <f t="shared" ca="1" si="3"/>
        <v/>
      </c>
    </row>
    <row r="58" spans="1:6" ht="14.45" customHeight="1">
      <c r="A58" s="697"/>
      <c r="B58" s="911"/>
      <c r="C58" s="36" t="s">
        <v>118</v>
      </c>
      <c r="D58" s="19">
        <f>_xlfn.XLOOKUP(C58,'Service-based'!$C$6:$C$72,'Service-based'!$E$6:$E$72)</f>
        <v>0</v>
      </c>
      <c r="E58" s="420" t="str">
        <f ca="1">IFERROR(IF(D58&gt;0,SUMIFS(INDIRECT("'Pricelist "&amp;'Solution-based'!$B$3&amp;"'!$"&amp;CHAR(70+$A$2)&amp;"$3:$"&amp;CHAR(70+$A$2)&amp;"$130"),INDIRECT("'Pricelist "&amp;'Solution-based'!$B$3&amp;"'!$O$3:$O$130"),'Calculator +1 tier'!$C58,INDIRECT("'Pricelist "&amp;'Solution-based'!$B$3&amp;"'!$E$3:$E$130"),$D$3),""),"Pricelist not found")</f>
        <v/>
      </c>
      <c r="F58" s="420" t="str">
        <f t="shared" ca="1" si="3"/>
        <v/>
      </c>
    </row>
    <row r="59" spans="1:6" ht="15" customHeight="1">
      <c r="A59" s="697"/>
      <c r="B59" s="911"/>
      <c r="C59" s="93" t="s">
        <v>119</v>
      </c>
      <c r="D59" s="19">
        <f>_xlfn.XLOOKUP(C59,'Service-based'!$C$6:$C$72,'Service-based'!$E$6:$E$72)</f>
        <v>0</v>
      </c>
      <c r="E59" s="420" t="str">
        <f ca="1">IFERROR(IF(D59&gt;0,SUMIFS(INDIRECT("'Pricelist "&amp;'Solution-based'!$B$3&amp;"'!$"&amp;CHAR(70+$A$2)&amp;"$3:$"&amp;CHAR(70+$A$2)&amp;"$130"),INDIRECT("'Pricelist "&amp;'Solution-based'!$B$3&amp;"'!$O$3:$O$130"),'Calculator +1 tier'!$C59),""),"Pricelist not found")</f>
        <v/>
      </c>
      <c r="F59" s="420" t="str">
        <f t="shared" ca="1" si="3"/>
        <v/>
      </c>
    </row>
    <row r="60" spans="1:6" ht="15" customHeight="1">
      <c r="A60" s="697"/>
      <c r="B60" s="81"/>
      <c r="C60" s="36" t="s">
        <v>144</v>
      </c>
      <c r="D60" s="19">
        <f>_xlfn.XLOOKUP(C60,'Service-based'!$C$6:$C$72,'Service-based'!$E$6:$E$72)</f>
        <v>0</v>
      </c>
      <c r="E60" s="420" t="str">
        <f ca="1">IFERROR(IF(D60&gt;0,SUMIFS(INDIRECT("'Pricelist "&amp;'Solution-based'!$B$3&amp;"'!$"&amp;CHAR(70+$A$2)&amp;"$3:$"&amp;CHAR(70+$A$2)&amp;"$130"),INDIRECT("'Pricelist "&amp;'Solution-based'!$B$3&amp;"'!$O$3:$O$130"),'Calculator +1 tier'!$C60,INDIRECT("'Pricelist "&amp;'Solution-based'!$B$3&amp;"'!$E$3:$E$130"),$D$3),""),"Pricelist not found")</f>
        <v/>
      </c>
      <c r="F60" s="420" t="str">
        <f t="shared" ca="1" si="3"/>
        <v/>
      </c>
    </row>
    <row r="61" spans="1:6" ht="15" customHeight="1">
      <c r="A61" s="697"/>
      <c r="B61" s="81"/>
      <c r="C61" s="91" t="s">
        <v>145</v>
      </c>
      <c r="D61" s="19">
        <f>_xlfn.XLOOKUP(C61,'Service-based'!$C$6:$C$72,'Service-based'!$E$6:$E$72)</f>
        <v>0</v>
      </c>
      <c r="E61" s="420" t="str">
        <f ca="1">IFERROR(IF(D61&gt;0,SUMIFS(INDIRECT("'Pricelist "&amp;'Solution-based'!$B$3&amp;"'!$"&amp;CHAR(70+$A$2)&amp;"$3:$"&amp;CHAR(70+$A$2)&amp;"$130"),INDIRECT("'Pricelist "&amp;'Solution-based'!$B$3&amp;"'!$O$3:$O$130"),'Calculator +1 tier'!$C61),""),"Pricelist not found")</f>
        <v/>
      </c>
      <c r="F61" s="420" t="str">
        <f t="shared" ca="1" si="3"/>
        <v/>
      </c>
    </row>
    <row r="62" spans="1:6" ht="15" customHeight="1">
      <c r="A62" s="697"/>
      <c r="B62" s="37"/>
      <c r="C62" s="94" t="s">
        <v>146</v>
      </c>
      <c r="D62" s="19">
        <f>_xlfn.XLOOKUP(C62,'Service-based'!$C$6:$C$72,'Service-based'!$E$6:$E$72)</f>
        <v>0</v>
      </c>
      <c r="E62" s="420" t="str">
        <f ca="1">IFERROR(IF(D62&gt;0,SUMIFS(INDIRECT("'Pricelist "&amp;'Solution-based'!$B$3&amp;"'!$"&amp;CHAR(70+$A$2)&amp;"$3:$"&amp;CHAR(70+$A$2)&amp;"$130"),INDIRECT("'Pricelist "&amp;'Solution-based'!$B$3&amp;"'!$O$3:$O$130"),'Calculator +1 tier'!$C62),""),"Pricelist not found")</f>
        <v/>
      </c>
      <c r="F62" s="420" t="str">
        <f t="shared" ca="1" si="3"/>
        <v/>
      </c>
    </row>
    <row r="63" spans="1:6" ht="19.5" customHeight="1">
      <c r="A63" s="905"/>
      <c r="B63" s="912" t="s">
        <v>570</v>
      </c>
      <c r="C63" s="913"/>
      <c r="D63" s="21"/>
      <c r="E63" s="421"/>
      <c r="F63" s="422"/>
    </row>
    <row r="64" spans="1:6" ht="14.45" customHeight="1">
      <c r="A64" s="697"/>
      <c r="B64" s="914" t="s">
        <v>69</v>
      </c>
      <c r="C64" s="97" t="s">
        <v>121</v>
      </c>
      <c r="D64" s="19">
        <f>_xlfn.XLOOKUP(C64,'Service-based'!$C$6:$C$72,'Service-based'!$E$6:$E$72)</f>
        <v>0</v>
      </c>
      <c r="E64" s="420" t="str">
        <f ca="1">IFERROR(IF(D64&gt;0,SUMIFS(INDIRECT("'Pricelist "&amp;'Solution-based'!$B$3&amp;"'!$"&amp;CHAR(70+$A$2)&amp;"$3:$"&amp;CHAR(70+$A$2)&amp;"$130"),INDIRECT("'Pricelist "&amp;'Solution-based'!$B$3&amp;"'!$O$3:$O$130"),'Calculator +1 tier'!$C64,INDIRECT("'Pricelist "&amp;'Solution-based'!$B$3&amp;"'!$E$3:$E$130"),$D$3),""),"Pricelist not found")</f>
        <v/>
      </c>
      <c r="F64" s="420" t="str">
        <f ca="1">IFERROR(D64*E64,"")</f>
        <v/>
      </c>
    </row>
    <row r="65" spans="1:6" ht="14.45" customHeight="1">
      <c r="A65" s="697"/>
      <c r="B65" s="915"/>
      <c r="C65" s="36" t="s">
        <v>122</v>
      </c>
      <c r="D65" s="19">
        <f>_xlfn.XLOOKUP(C65,'Service-based'!$C$6:$C$72,'Service-based'!$E$6:$E$72)</f>
        <v>0</v>
      </c>
      <c r="E65" s="420" t="str">
        <f ca="1">IFERROR(IF(D65&gt;0,SUMIFS(INDIRECT("'Pricelist "&amp;'Solution-based'!$B$3&amp;"'!$"&amp;CHAR(70+$A$2)&amp;"$3:$"&amp;CHAR(70+$A$2)&amp;"$130"),INDIRECT("'Pricelist "&amp;'Solution-based'!$B$3&amp;"'!$O$3:$O$130"),'Calculator +1 tier'!$C65),""),"Pricelist not found")</f>
        <v/>
      </c>
      <c r="F65" s="420" t="str">
        <f t="shared" ref="F65:F74" ca="1" si="4">IFERROR(D65*E65,"")</f>
        <v/>
      </c>
    </row>
    <row r="66" spans="1:6" ht="14.45" customHeight="1">
      <c r="A66" s="697"/>
      <c r="B66" s="915"/>
      <c r="C66" s="98" t="s">
        <v>123</v>
      </c>
      <c r="D66" s="19">
        <f>_xlfn.XLOOKUP(C66,'Service-based'!$C$6:$C$72,'Service-based'!$E$6:$E$72)</f>
        <v>0</v>
      </c>
      <c r="E66" s="420" t="str">
        <f ca="1">IFERROR(IF(D66&gt;0,SUMIFS(INDIRECT("'Pricelist "&amp;'Solution-based'!$B$3&amp;"'!$"&amp;CHAR(70+$A$2)&amp;"$3:$"&amp;CHAR(70+$A$2)&amp;"$130"),INDIRECT("'Pricelist "&amp;'Solution-based'!$B$3&amp;"'!$O$3:$O$130"),'Calculator +1 tier'!$C66),""),"Pricelist not found")</f>
        <v/>
      </c>
      <c r="F66" s="420" t="str">
        <f t="shared" ca="1" si="4"/>
        <v/>
      </c>
    </row>
    <row r="67" spans="1:6" ht="15" customHeight="1">
      <c r="A67" s="697"/>
      <c r="B67" s="915"/>
      <c r="C67" s="36" t="s">
        <v>124</v>
      </c>
      <c r="D67" s="19">
        <f>_xlfn.XLOOKUP(C67,'Service-based'!$C$6:$C$72,'Service-based'!$E$6:$E$72)</f>
        <v>0</v>
      </c>
      <c r="E67" s="420" t="str">
        <f ca="1">IFERROR(IF(D67&gt;0,SUMIFS(INDIRECT("'Pricelist "&amp;'Solution-based'!$B$3&amp;"'!$"&amp;CHAR(70+$A$2)&amp;"$3:$"&amp;CHAR(70+$A$2)&amp;"$130"),INDIRECT("'Pricelist "&amp;'Solution-based'!$B$3&amp;"'!$O$3:$O$130"),'Calculator +1 tier'!$C67),""),"Pricelist not found")</f>
        <v/>
      </c>
      <c r="F67" s="420" t="str">
        <f t="shared" ca="1" si="4"/>
        <v/>
      </c>
    </row>
    <row r="68" spans="1:6" ht="15" customHeight="1">
      <c r="A68" s="697"/>
      <c r="B68" s="83"/>
      <c r="C68" s="98" t="s">
        <v>147</v>
      </c>
      <c r="D68" s="19">
        <f>_xlfn.XLOOKUP(C68,'Service-based'!$C$6:$C$72,'Service-based'!$E$6:$E$72)</f>
        <v>0</v>
      </c>
      <c r="E68" s="420" t="str">
        <f ca="1">IFERROR(IF(D68&gt;0,SUMIFS(INDIRECT("'Pricelist "&amp;'Solution-based'!$B$3&amp;"'!$"&amp;CHAR(70+$A$2)&amp;"$3:$"&amp;CHAR(70+$A$2)&amp;"$130"),INDIRECT("'Pricelist "&amp;'Solution-based'!$B$3&amp;"'!$O$3:$O$130"),'Calculator +1 tier'!$C68,INDIRECT("'Pricelist "&amp;'Solution-based'!$B$3&amp;"'!$E$3:$E$130"),$D$3),""),"Pricelist not found")</f>
        <v/>
      </c>
      <c r="F68" s="420" t="str">
        <f t="shared" ca="1" si="4"/>
        <v/>
      </c>
    </row>
    <row r="69" spans="1:6" ht="15" customHeight="1">
      <c r="A69" s="697"/>
      <c r="B69" s="83"/>
      <c r="C69" s="36" t="str">
        <f>'Service-based'!C57</f>
        <v>Email Archiving Cloud Storage - Service Provider Hosted</v>
      </c>
      <c r="D69" s="19">
        <f>_xlfn.XLOOKUP(C69,'Service-based'!$C$6:$C$72,'Service-based'!$E$6:$E$72)</f>
        <v>0</v>
      </c>
      <c r="E69" s="420" t="str">
        <f ca="1">IFERROR(IF(D69&gt;0,SUMIFS(INDIRECT("'Pricelist "&amp;'Solution-based'!$B$3&amp;"'!$"&amp;CHAR(70+$A$2)&amp;"$3:$"&amp;CHAR(70+$A$2)&amp;"$130"),INDIRECT("'Pricelist "&amp;'Solution-based'!$B$3&amp;"'!$O$3:$O$130"),'Calculator +1 tier'!$C69),""),"Pricelist not found")</f>
        <v/>
      </c>
      <c r="F69" s="420" t="str">
        <f t="shared" ca="1" si="4"/>
        <v/>
      </c>
    </row>
    <row r="70" spans="1:6" ht="15" customHeight="1">
      <c r="A70" s="697"/>
      <c r="B70" s="84"/>
      <c r="C70" s="99" t="s">
        <v>149</v>
      </c>
      <c r="D70" s="19">
        <f>_xlfn.XLOOKUP(C70,'Service-based'!$C$6:$C$72,'Service-based'!$E$6:$E$72)</f>
        <v>0</v>
      </c>
      <c r="E70" s="420" t="str">
        <f ca="1">IFERROR(IF(D70&gt;0,SUMIFS(INDIRECT("'Pricelist "&amp;'Solution-based'!$B$3&amp;"'!$"&amp;CHAR(70+$A$2)&amp;"$3:$"&amp;CHAR(70+$A$2)&amp;"$130"),INDIRECT("'Pricelist "&amp;'Solution-based'!$B$3&amp;"'!$O$3:$O$130"),'Calculator +1 tier'!$C70),""),"Pricelist not found")</f>
        <v/>
      </c>
      <c r="F70" s="420" t="str">
        <f t="shared" ca="1" si="4"/>
        <v/>
      </c>
    </row>
    <row r="71" spans="1:6" ht="15" customHeight="1">
      <c r="A71" s="697"/>
      <c r="B71" s="83" t="s">
        <v>571</v>
      </c>
      <c r="C71" s="119" t="str">
        <f>'Service-based'!C40</f>
        <v>Microsoft 365 Backup Storage powered by Microsoft (per GB, for both per GB and per workload models)</v>
      </c>
      <c r="D71" s="19">
        <f>_xlfn.XLOOKUP(C71,'Service-based'!$C$6:$C$72,'Service-based'!$E$6:$E$72)</f>
        <v>0</v>
      </c>
      <c r="E71" s="420" t="str">
        <f ca="1">IFERROR(IF(D71&gt;0,SUMIFS(INDIRECT("'Pricelist "&amp;'Solution-based'!$B$3&amp;"'!$"&amp;CHAR(70+$A$2)&amp;"$3:$"&amp;CHAR(70+$A$2)&amp;"$130"),INDIRECT("'Pricelist "&amp;'Solution-based'!$B$3&amp;"'!$O$3:$O$130"),'Calculator +1 tier'!$C71),""),"Pricelist not found")</f>
        <v/>
      </c>
      <c r="F71" s="420" t="str">
        <f t="shared" ca="1" si="4"/>
        <v/>
      </c>
    </row>
    <row r="72" spans="1:6" ht="15" customHeight="1">
      <c r="A72" s="905"/>
      <c r="B72" s="915" t="s">
        <v>44</v>
      </c>
      <c r="C72" s="6" t="s">
        <v>127</v>
      </c>
      <c r="D72" s="19">
        <f>_xlfn.XLOOKUP(C72,'Service-based'!$C$6:$C$72,'Service-based'!$E$6:$E$72)</f>
        <v>0</v>
      </c>
      <c r="E72" s="420" t="str">
        <f ca="1">IF(AND(D72&gt;0,$D$3="G2"),"Not available for G2",IFERROR(IF(D72&gt;0,SUMIFS(INDIRECT("'Pricelist "&amp;'Solution-based'!$B$3&amp;"'!$"&amp;CHAR(70+$A$2)&amp;"$3:$"&amp;CHAR(70+$A$2)&amp;"$130"),INDIRECT("'Pricelist "&amp;'Solution-based'!$B$3&amp;"'!$O$3:$O$130"),'Calculator +1 tier'!$C72),""),"Pricelist not found"))</f>
        <v/>
      </c>
      <c r="F72" s="420" t="str">
        <f t="shared" ca="1" si="4"/>
        <v/>
      </c>
    </row>
    <row r="73" spans="1:6" ht="15" customHeight="1">
      <c r="A73" s="905"/>
      <c r="B73" s="915"/>
      <c r="C73" s="9" t="s">
        <v>129</v>
      </c>
      <c r="D73" s="19">
        <f>_xlfn.XLOOKUP(C73,'Service-based'!$C$6:$C$72,'Service-based'!$E$6:$E$72)</f>
        <v>0</v>
      </c>
      <c r="E73" s="420" t="str">
        <f ca="1">IF(AND(D73&gt;0,$D$3="G2"),"Not available for G2",IFERROR(IF(D73&gt;0,SUMIFS(INDIRECT("'Pricelist "&amp;'Solution-based'!$B$3&amp;"'!$"&amp;CHAR(70+$A$2)&amp;"$3:$"&amp;CHAR(70+$A$2)&amp;"$130"),INDIRECT("'Pricelist "&amp;'Solution-based'!$B$3&amp;"'!$O$3:$O$130"),'Calculator +1 tier'!$C73),""),"Pricelist not found"))</f>
        <v/>
      </c>
      <c r="F73" s="420" t="str">
        <f t="shared" ca="1" si="4"/>
        <v/>
      </c>
    </row>
    <row r="74" spans="1:6" ht="15" customHeight="1">
      <c r="A74" s="905"/>
      <c r="B74" s="915"/>
      <c r="C74" s="6" t="s">
        <v>130</v>
      </c>
      <c r="D74" s="19">
        <f>_xlfn.XLOOKUP(C74,'Service-based'!$C$6:$C$72,'Service-based'!$E$6:$E$72)</f>
        <v>0</v>
      </c>
      <c r="E74" s="420" t="str">
        <f ca="1">IF(AND(D74&gt;0,$D$3="G2"),"Not available for G2",IFERROR(IF(D74&gt;0,SUMIFS(INDIRECT("'Pricelist "&amp;'Solution-based'!$B$3&amp;"'!$"&amp;CHAR(70+$A$2)&amp;"$3:$"&amp;CHAR(70+$A$2)&amp;"$130"),INDIRECT("'Pricelist "&amp;'Solution-based'!$B$3&amp;"'!$O$3:$O$130"),'Calculator +1 tier'!$C74),""),"Pricelist not found"))</f>
        <v/>
      </c>
      <c r="F74" s="420" t="str">
        <f t="shared" ca="1" si="4"/>
        <v/>
      </c>
    </row>
    <row r="75" spans="1:6" ht="17.45" customHeight="1">
      <c r="A75" s="18"/>
      <c r="B75" s="932" t="s">
        <v>572</v>
      </c>
      <c r="C75" s="933"/>
      <c r="D75" s="23"/>
      <c r="E75" s="423"/>
      <c r="F75" s="424"/>
    </row>
    <row r="76" spans="1:6" ht="15" customHeight="1">
      <c r="A76" s="923" t="s">
        <v>573</v>
      </c>
      <c r="B76" s="922" t="s">
        <v>574</v>
      </c>
      <c r="C76" s="6" t="str">
        <f>'Service-based'!C44</f>
        <v># Direct Backup to Public Cloud, Physical Servers</v>
      </c>
      <c r="D76" s="19">
        <f>_xlfn.XLOOKUP(C76,'Service-based'!$C$6:$C$72,'Service-based'!$E$6:$E$72)</f>
        <v>0</v>
      </c>
      <c r="E76" s="420" t="str">
        <f ca="1">IFERROR(IF(D76&gt;0,SUMIFS(INDIRECT("'Pricelist "&amp;'Solution-based'!$B$3&amp;"'!$"&amp;CHAR(70+$A$2)&amp;"$3:$"&amp;CHAR(70+$A$2)&amp;"$130"),INDIRECT("'Pricelist "&amp;'Solution-based'!$B$3&amp;"'!$O$3:$O$130"),'Calculator +1 tier'!$C76),""),"Pricelist not found")</f>
        <v/>
      </c>
      <c r="F76" s="420" t="str">
        <f ca="1">IFERROR(D76*E76,"")</f>
        <v/>
      </c>
    </row>
    <row r="77" spans="1:6" ht="14.45" customHeight="1">
      <c r="A77" s="923"/>
      <c r="B77" s="922"/>
      <c r="C77" s="6" t="str">
        <f>'Service-based'!C45</f>
        <v># Direct Backup to Public Cloud, Virtual Machines</v>
      </c>
      <c r="D77" s="19">
        <f>_xlfn.XLOOKUP(C77,'Service-based'!$C$6:$C$72,'Service-based'!$E$6:$E$72)</f>
        <v>0</v>
      </c>
      <c r="E77" s="420" t="str">
        <f ca="1">IFERROR(IF(D77&gt;0,SUMIFS(INDIRECT("'Pricelist "&amp;'Solution-based'!$B$3&amp;"'!$"&amp;CHAR(70+$A$2)&amp;"$3:$"&amp;CHAR(70+$A$2)&amp;"$130"),INDIRECT("'Pricelist "&amp;'Solution-based'!$B$3&amp;"'!$O$3:$O$130"),'Calculator +1 tier'!$C77),""),"Pricelist not found")</f>
        <v/>
      </c>
      <c r="F77" s="420" t="str">
        <f t="shared" ref="F77:F100" ca="1" si="5">IFERROR(D77*E77,"")</f>
        <v/>
      </c>
    </row>
    <row r="78" spans="1:6" ht="14.45" customHeight="1">
      <c r="A78" s="923"/>
      <c r="B78" s="922"/>
      <c r="C78" s="6" t="str">
        <f>'Service-based'!C46</f>
        <v># Direct Backup to Public Cloud, Workstations</v>
      </c>
      <c r="D78" s="19">
        <f>_xlfn.XLOOKUP(C78,'Service-based'!$C$6:$C$72,'Service-based'!$E$6:$E$72)</f>
        <v>0</v>
      </c>
      <c r="E78" s="420" t="str">
        <f ca="1">IFERROR(IF(D78&gt;0,SUMIFS(INDIRECT("'Pricelist "&amp;'Solution-based'!$B$3&amp;"'!$"&amp;CHAR(70+$A$2)&amp;"$3:$"&amp;CHAR(70+$A$2)&amp;"$130"),INDIRECT("'Pricelist "&amp;'Solution-based'!$B$3&amp;"'!$O$3:$O$130"),'Calculator +1 tier'!$C78),""),"Pricelist not found")</f>
        <v/>
      </c>
      <c r="F78" s="420" t="str">
        <f t="shared" ca="1" si="5"/>
        <v/>
      </c>
    </row>
    <row r="79" spans="1:6" ht="15" customHeight="1">
      <c r="A79" s="923"/>
      <c r="B79" s="922"/>
      <c r="C79" s="6" t="str">
        <f>'Service-based'!C47</f>
        <v># Direct Backup to Public Cloud, Hosting Servers</v>
      </c>
      <c r="D79" s="19">
        <f>_xlfn.XLOOKUP(C79,'Service-based'!$C$6:$C$72,'Service-based'!$E$6:$E$72)</f>
        <v>0</v>
      </c>
      <c r="E79" s="420" t="str">
        <f ca="1">IFERROR(IF(D79&gt;0,SUMIFS(INDIRECT("'Pricelist "&amp;'Solution-based'!$B$3&amp;"'!$"&amp;CHAR(70+$A$2)&amp;"$3:$"&amp;CHAR(70+$A$2)&amp;"$130"),INDIRECT("'Pricelist "&amp;'Solution-based'!$B$3&amp;"'!$O$3:$O$130"),'Calculator +1 tier'!$C79),""),"Pricelist not found")</f>
        <v/>
      </c>
      <c r="F79" s="420" t="str">
        <f t="shared" ca="1" si="5"/>
        <v/>
      </c>
    </row>
    <row r="80" spans="1:6" ht="14.45" customHeight="1">
      <c r="A80" s="923"/>
      <c r="B80" s="81" t="s">
        <v>575</v>
      </c>
      <c r="C80" s="12" t="str">
        <f>'Service-based'!C20</f>
        <v># Remote Monitoring and Management (RMM) Workloads (Servers, VMs, Workstations, Hosting Servers)</v>
      </c>
      <c r="D80" s="19">
        <f>_xlfn.XLOOKUP(C80,'Service-based'!$C$6:$C$72,'Service-based'!$E$6:$E$72)</f>
        <v>0</v>
      </c>
      <c r="E80" s="420" t="str">
        <f ca="1">IFERROR(IF(D80&gt;0,SUMIFS(INDIRECT("'Pricelist "&amp;'Solution-based'!$B$3&amp;"'!$"&amp;CHAR(70+$A$2)&amp;"$3:$"&amp;CHAR(70+$A$2)&amp;"$130"),INDIRECT("'Pricelist "&amp;'Solution-based'!$B$3&amp;"'!$O$3:$O$130"),'Calculator +1 tier'!$C80),""),"Pricelist not found")</f>
        <v/>
      </c>
      <c r="F80" s="420" t="str">
        <f t="shared" ca="1" si="5"/>
        <v/>
      </c>
    </row>
    <row r="81" spans="1:6" ht="14.45" customHeight="1">
      <c r="A81" s="923"/>
      <c r="B81" s="81"/>
      <c r="C81" s="12" t="str">
        <f>'Service-based'!C18</f>
        <v># SaaS Security Posture Management Workloads (Microsoft 365 Seats)</v>
      </c>
      <c r="D81" s="19">
        <f>_xlfn.XLOOKUP(C81,'Service-based'!$C$6:$C$72,'Service-based'!$E$6:$E$72)</f>
        <v>0</v>
      </c>
      <c r="E81" s="420" t="str">
        <f ca="1">IFERROR(IF(D81&gt;0,SUMIFS(INDIRECT("'Pricelist "&amp;'Solution-based'!$B$3&amp;"'!$"&amp;CHAR(70+$A$2)&amp;"$3:$"&amp;CHAR(70+$A$2)&amp;"$130"),INDIRECT("'Pricelist "&amp;'Solution-based'!$B$3&amp;"'!$O$3:$O$130"),'Calculator +1 tier'!$C81),""),"Pricelist not found")</f>
        <v/>
      </c>
      <c r="F81" s="420" t="str">
        <f t="shared" ca="1" si="5"/>
        <v/>
      </c>
    </row>
    <row r="82" spans="1:6" ht="14.45" customHeight="1">
      <c r="A82" s="923"/>
      <c r="B82" s="927" t="s">
        <v>576</v>
      </c>
      <c r="C82" s="13" t="str">
        <f>'Service-based'!C6</f>
        <v># Endpoint Detection and Response (EDR) Workloads (Servers, VMs, Workstations, Hosting Servers)</v>
      </c>
      <c r="D82" s="19">
        <f>_xlfn.XLOOKUP(C82,'Service-based'!$C$6:$C$72,'Service-based'!$E$6:$E$72)</f>
        <v>0</v>
      </c>
      <c r="E82" s="420" t="str">
        <f ca="1">IFERROR(IF(D82&gt;0,SUMIFS(INDIRECT("'Pricelist "&amp;'Solution-based'!$B$3&amp;"'!$"&amp;CHAR(70+$A$2)&amp;"$3:$"&amp;CHAR(70+$A$2)&amp;"$130"),INDIRECT("'Pricelist "&amp;'Solution-based'!$B$3&amp;"'!$O$3:$O$130"),'Calculator +1 tier'!$C82),""),"Pricelist not found")</f>
        <v/>
      </c>
      <c r="F82" s="420" t="str">
        <f t="shared" ca="1" si="5"/>
        <v/>
      </c>
    </row>
    <row r="83" spans="1:6" ht="14.45" customHeight="1">
      <c r="A83" s="923"/>
      <c r="B83" s="922"/>
      <c r="C83" s="13" t="str">
        <f>'Service-based'!C7</f>
        <v># Extended Detection and Response (XDR) Workloads (Servers, VMs, Workstations, Hosting Servers)</v>
      </c>
      <c r="D83" s="19">
        <f>_xlfn.XLOOKUP(C83,'Service-based'!$C$6:$C$72,'Service-based'!$E$6:$E$72)</f>
        <v>0</v>
      </c>
      <c r="E83" s="420" t="str">
        <f ca="1">IFERROR(IF(D83&gt;0,SUMIFS(INDIRECT("'Pricelist "&amp;'Solution-based'!$B$3&amp;"'!$"&amp;CHAR(70+$A$2)&amp;"$3:$"&amp;CHAR(70+$A$2)&amp;"$130"),INDIRECT("'Pricelist "&amp;'Solution-based'!$B$3&amp;"'!$O$3:$O$130"),'Calculator +1 tier'!$C83),""),"Pricelist not found")</f>
        <v/>
      </c>
      <c r="F83" s="420" t="str">
        <f t="shared" ca="1" si="5"/>
        <v/>
      </c>
    </row>
    <row r="84" spans="1:6" ht="14.45" customHeight="1">
      <c r="A84" s="923"/>
      <c r="B84" s="922"/>
      <c r="C84" s="13" t="str">
        <f>'Service-based'!C8</f>
        <v># In-house MDR Workloads - Standard - Partner-level (Servers, VMs, Workstations, Hosting Servers)</v>
      </c>
      <c r="D84" s="19">
        <f>_xlfn.XLOOKUP(C84,'Service-based'!$C$6:$C$72,'Service-based'!$E$6:$E$72)</f>
        <v>0</v>
      </c>
      <c r="E84" s="420" t="str">
        <f ca="1">IFERROR(IF(D84&gt;0,SUMIFS(INDIRECT("'Pricelist "&amp;'Solution-based'!$B$3&amp;"'!$"&amp;CHAR(70+$A$2)&amp;"$3:$"&amp;CHAR(70+$A$2)&amp;"$130"),INDIRECT("'Pricelist "&amp;'Solution-based'!$B$3&amp;"'!$O$3:$O$130"),'Calculator +1 tier'!$C84),""),"Pricelist not found")</f>
        <v/>
      </c>
      <c r="F84" s="420" t="str">
        <f t="shared" ref="F84:F87" ca="1" si="6">IFERROR(D84*E84,"")</f>
        <v/>
      </c>
    </row>
    <row r="85" spans="1:6" ht="14.45" customHeight="1">
      <c r="A85" s="923"/>
      <c r="B85" s="922"/>
      <c r="C85" s="13" t="str">
        <f>'Service-based'!C9</f>
        <v># In-house MDR Workloads - Advanced - Partner-level (Servers, VMs, Workstations, Hosting Servers)</v>
      </c>
      <c r="D85" s="19">
        <f>_xlfn.XLOOKUP(C85,'Service-based'!$C$6:$C$72,'Service-based'!$E$6:$E$72)</f>
        <v>0</v>
      </c>
      <c r="E85" s="420" t="str">
        <f ca="1">IFERROR(IF(D85&gt;0,SUMIFS(INDIRECT("'Pricelist "&amp;'Solution-based'!$B$3&amp;"'!$"&amp;CHAR(70+$A$2)&amp;"$3:$"&amp;CHAR(70+$A$2)&amp;"$130"),INDIRECT("'Pricelist "&amp;'Solution-based'!$B$3&amp;"'!$O$3:$O$130"),'Calculator +1 tier'!$C85),""),"Pricelist not found")</f>
        <v/>
      </c>
      <c r="F85" s="420" t="str">
        <f t="shared" ca="1" si="6"/>
        <v/>
      </c>
    </row>
    <row r="86" spans="1:6" ht="14.45" customHeight="1">
      <c r="A86" s="923"/>
      <c r="B86" s="922"/>
      <c r="C86" s="13" t="str">
        <f>'Service-based'!C10</f>
        <v># In-house MDR Workloads - Standard - Customer-level (Servers, VMs, Workstations, Hosting Servers)</v>
      </c>
      <c r="D86" s="19">
        <f>_xlfn.XLOOKUP(C86,'Service-based'!$C$6:$C$72,'Service-based'!$E$6:$E$72)</f>
        <v>0</v>
      </c>
      <c r="E86" s="420" t="str">
        <f ca="1">IFERROR(IF(D86&gt;0,SUMIFS(INDIRECT("'Pricelist "&amp;'Solution-based'!$B$3&amp;"'!$"&amp;CHAR(70+$A$2)&amp;"$3:$"&amp;CHAR(70+$A$2)&amp;"$130"),INDIRECT("'Pricelist "&amp;'Solution-based'!$B$3&amp;"'!$O$3:$O$130"),'Calculator +1 tier'!$C86),""),"Pricelist not found")</f>
        <v/>
      </c>
      <c r="F86" s="420" t="str">
        <f t="shared" ca="1" si="6"/>
        <v/>
      </c>
    </row>
    <row r="87" spans="1:6" ht="14.45" customHeight="1">
      <c r="A87" s="923"/>
      <c r="B87" s="922"/>
      <c r="C87" s="13" t="str">
        <f>'Service-based'!C11</f>
        <v># In-house MDR Workloads - Advanced - Customer-level (Servers, VMs, Workstations, Hosting Servers)</v>
      </c>
      <c r="D87" s="19">
        <f>_xlfn.XLOOKUP(C87,'Service-based'!$C$6:$C$72,'Service-based'!$E$6:$E$72)</f>
        <v>0</v>
      </c>
      <c r="E87" s="420" t="str">
        <f ca="1">IFERROR(IF(D87&gt;0,SUMIFS(INDIRECT("'Pricelist "&amp;'Solution-based'!$B$3&amp;"'!$"&amp;CHAR(70+$A$2)&amp;"$3:$"&amp;CHAR(70+$A$2)&amp;"$130"),INDIRECT("'Pricelist "&amp;'Solution-based'!$B$3&amp;"'!$O$3:$O$130"),'Calculator +1 tier'!$C87),""),"Pricelist not found")</f>
        <v/>
      </c>
      <c r="F87" s="420" t="str">
        <f t="shared" ca="1" si="6"/>
        <v/>
      </c>
    </row>
    <row r="88" spans="1:6" ht="14.45" customHeight="1">
      <c r="A88" s="923"/>
      <c r="B88" s="922"/>
      <c r="C88" s="13" t="str">
        <f>'Service-based'!C12</f>
        <v># 3rd Party MDR Workloads - Standard (Servers, VMs, Workstations, Hosting Servers)</v>
      </c>
      <c r="D88" s="19">
        <f>_xlfn.XLOOKUP(C88,'Service-based'!$C$6:$C$72,'Service-based'!$E$6:$E$72)</f>
        <v>0</v>
      </c>
      <c r="E88" s="420" t="str">
        <f ca="1">IFERROR(IF(D88&gt;0,SUMIFS(INDIRECT("'Pricelist "&amp;'Solution-based'!$B$3&amp;"'!$"&amp;CHAR(70+$A$2)&amp;"$3:$"&amp;CHAR(70+$A$2)&amp;"$130"),INDIRECT("'Pricelist "&amp;'Solution-based'!$B$3&amp;"'!$O$3:$O$130"),'Calculator +1 tier'!$C88),""),"Pricelist not found")</f>
        <v/>
      </c>
      <c r="F88" s="420" t="str">
        <f t="shared" ca="1" si="5"/>
        <v/>
      </c>
    </row>
    <row r="89" spans="1:6" ht="14.45" customHeight="1">
      <c r="A89" s="923"/>
      <c r="B89" s="928"/>
      <c r="C89" s="13" t="str">
        <f>'Service-based'!C13</f>
        <v># 3rd Party MDR Workloads - Advanced (Servers, VMs, Workstations, Hosting Servers)</v>
      </c>
      <c r="D89" s="19">
        <f>_xlfn.XLOOKUP(C89,'Service-based'!$C$6:$C$72,'Service-based'!$E$6:$E$72)</f>
        <v>0</v>
      </c>
      <c r="E89" s="420" t="str">
        <f ca="1">IFERROR(IF(D89&gt;0,SUMIFS(INDIRECT("'Pricelist "&amp;'Solution-based'!$B$3&amp;"'!$"&amp;CHAR(70+$A$2)&amp;"$3:$"&amp;CHAR(70+$A$2)&amp;"$130"),INDIRECT("'Pricelist "&amp;'Solution-based'!$B$3&amp;"'!$O$3:$O$130"),'Calculator +1 tier'!$C89),""),"Pricelist not found")</f>
        <v/>
      </c>
      <c r="F89" s="420" t="str">
        <f t="shared" ca="1" si="5"/>
        <v/>
      </c>
    </row>
    <row r="90" spans="1:6" ht="14.45" customHeight="1">
      <c r="A90" s="923"/>
      <c r="B90" s="248"/>
      <c r="C90" s="13" t="str">
        <f>'Service-based'!C14</f>
        <v># Gen AI Protection Workloads</v>
      </c>
      <c r="D90" s="19">
        <f>_xlfn.XLOOKUP(C90,'Service-based'!$C$6:$C$72,'Service-based'!$E$6:$E$72)</f>
        <v>0</v>
      </c>
      <c r="E90" s="420" t="str">
        <f ca="1">IFERROR(IF(D90&gt;0,SUMIFS(INDIRECT("'Pricelist "&amp;'Solution-based'!$B$3&amp;"'!$"&amp;CHAR(70+$A$2)&amp;"$3:$"&amp;CHAR(70+$A$2)&amp;"$130"),INDIRECT("'Pricelist "&amp;'Solution-based'!$B$3&amp;"'!$O$3:$O$130"),'Calculator +1 tier'!$C90),""),"Pricelist not found")</f>
        <v/>
      </c>
      <c r="F90" s="420" t="str">
        <f t="shared" ref="F90" ca="1" si="7">IFERROR(D90*E90,"")</f>
        <v/>
      </c>
    </row>
    <row r="91" spans="1:6" ht="27.95" customHeight="1">
      <c r="A91" s="923"/>
      <c r="B91" s="927" t="s">
        <v>577</v>
      </c>
      <c r="C91" s="13" t="str">
        <f>'Service-based'!C16</f>
        <v># Email Security Users</v>
      </c>
      <c r="D91" s="19">
        <f>_xlfn.XLOOKUP(C91,'Service-based'!$C$6:$C$72,'Service-based'!$E$6:$E$72)</f>
        <v>0</v>
      </c>
      <c r="E91" s="420" t="str">
        <f ca="1">IFERROR(IF(D91&gt;0,SUMIFS(INDIRECT("'Pricelist "&amp;'Solution-based'!$B$3&amp;"'!$"&amp;CHAR(70+$A$2)&amp;"$3:$"&amp;CHAR(70+$A$2)&amp;"$130"),INDIRECT("'Pricelist "&amp;'Solution-based'!$B$3&amp;"'!$O$3:$O$130"),'Calculator +1 tier'!$C91),""),"Pricelist not found")</f>
        <v/>
      </c>
      <c r="F91" s="420" t="str">
        <f ca="1">IFERROR(D91*E91,"")</f>
        <v/>
      </c>
    </row>
    <row r="92" spans="1:6" ht="15" customHeight="1">
      <c r="A92" s="923"/>
      <c r="B92" s="924"/>
      <c r="C92" s="100" t="str">
        <f>'Service-based'!C17</f>
        <v># Collaboration Security Users</v>
      </c>
      <c r="D92" s="19">
        <f>_xlfn.XLOOKUP(C92,'Service-based'!$C$6:$C$72,'Service-based'!$E$6:$E$72)</f>
        <v>0</v>
      </c>
      <c r="E92" s="420" t="str">
        <f ca="1">IFERROR(IF(D92&gt;0,SUMIFS(INDIRECT("'Pricelist "&amp;'Solution-based'!$B$3&amp;"'!$"&amp;CHAR(70+$A$2)&amp;"$3:$"&amp;CHAR(70+$A$2)&amp;"$130"),INDIRECT("'Pricelist "&amp;'Solution-based'!$B$3&amp;"'!$O$3:$O$130"),'Calculator +1 tier'!$C92),""),"Pricelist not found")</f>
        <v/>
      </c>
      <c r="F92" s="420" t="str">
        <f t="shared" ca="1" si="5"/>
        <v/>
      </c>
    </row>
    <row r="93" spans="1:6" ht="14.45" customHeight="1">
      <c r="A93" s="923"/>
      <c r="B93" s="82" t="s">
        <v>39</v>
      </c>
      <c r="C93" s="100" t="str">
        <f>'Service-based'!C19</f>
        <v># Security Awareness Training (Users)</v>
      </c>
      <c r="D93" s="19">
        <f>_xlfn.XLOOKUP(C93,'Service-based'!$C$6:$C$72,'Service-based'!$E$6:$E$72)</f>
        <v>0</v>
      </c>
      <c r="E93" s="420" t="str">
        <f ca="1">IFERROR(IF(D93&gt;0,SUMIFS(INDIRECT("'Pricelist "&amp;'Solution-based'!$B$3&amp;"'!$"&amp;CHAR(70+$A$2)&amp;"$3:$"&amp;CHAR(70+$A$2)&amp;"$130"),INDIRECT("'Pricelist "&amp;'Solution-based'!$B$3&amp;"'!$O$3:$O$130"),'Calculator +1 tier'!$C93),""),"Pricelist not found")</f>
        <v/>
      </c>
      <c r="F93" s="420" t="str">
        <f t="shared" ca="1" si="5"/>
        <v/>
      </c>
    </row>
    <row r="94" spans="1:6">
      <c r="A94" s="923"/>
      <c r="B94" s="67" t="s">
        <v>578</v>
      </c>
      <c r="C94" s="75" t="str">
        <f>'Service-based'!C15</f>
        <v># Data Loss Prevention Workloads (Servers, VMs, Workstations, Hosting Servers)</v>
      </c>
      <c r="D94" s="19">
        <f>_xlfn.XLOOKUP(C94,'Service-based'!$C$6:$C$72,'Service-based'!$E$6:$E$72)</f>
        <v>0</v>
      </c>
      <c r="E94" s="420" t="str">
        <f ca="1">IFERROR(IF(D94&gt;0,SUMIFS(INDIRECT("'Pricelist "&amp;'Solution-based'!$B$3&amp;"'!$"&amp;CHAR(70+$A$2)&amp;"$3:$"&amp;CHAR(70+$A$2)&amp;"$130"),INDIRECT("'Pricelist "&amp;'Solution-based'!$B$3&amp;"'!$O$3:$O$130"),'Calculator +1 tier'!$C94),""),"Pricelist not found")</f>
        <v/>
      </c>
      <c r="F94" s="420" t="str">
        <f t="shared" ca="1" si="5"/>
        <v/>
      </c>
    </row>
    <row r="95" spans="1:6" ht="14.45" customHeight="1">
      <c r="A95" s="923"/>
      <c r="B95" s="67" t="s">
        <v>579</v>
      </c>
      <c r="C95" s="76" t="str">
        <f>'Service-based'!C21</f>
        <v># Professional Services Automation (PSA) users (3 minimum)</v>
      </c>
      <c r="D95" s="19">
        <f>_xlfn.XLOOKUP(C95,'Service-based'!$C$6:$C$72,'Service-based'!$E$6:$E$72)</f>
        <v>0</v>
      </c>
      <c r="E95" s="420" t="str">
        <f ca="1">IFERROR(IF(D95&gt;0,SUMIFS(INDIRECT("'Pricelist "&amp;'Solution-based'!$B$3&amp;"'!$"&amp;CHAR(70+$A$2)&amp;"$3:$"&amp;CHAR(70+$A$2)&amp;"$130"),INDIRECT("'Pricelist "&amp;'Solution-based'!$B$3&amp;"'!$O$3:$O$130"),'Calculator +1 tier'!$C95),""),"Pricelist not found")</f>
        <v/>
      </c>
      <c r="F95" s="420" t="str">
        <f t="shared" ca="1" si="5"/>
        <v/>
      </c>
    </row>
    <row r="96" spans="1:6" ht="14.45" customHeight="1">
      <c r="A96" s="923"/>
      <c r="B96" s="910" t="s">
        <v>580</v>
      </c>
      <c r="C96" s="77" t="s">
        <v>137</v>
      </c>
      <c r="D96" s="19">
        <f>_xlfn.XLOOKUP(C96,'Service-based'!$C$6:$C$72,'Service-based'!$E$6:$E$72)</f>
        <v>0</v>
      </c>
      <c r="E96" s="420" t="str">
        <f ca="1">IFERROR(IF(D96&gt;0,SUMIFS(INDIRECT("'Pricelist "&amp;'Solution-based'!$B$3&amp;"'!$"&amp;CHAR(70+$A$2)&amp;"$3:$"&amp;CHAR(70+$A$2)&amp;"$130"),INDIRECT("'Pricelist "&amp;'Solution-based'!$B$3&amp;"'!$O$3:$O$130"),'Calculator +1 tier'!$C96,INDIRECT("'Pricelist "&amp;'Solution-based'!$B$3&amp;"'!$E$3:$E$130"),$D$3),""),"Pricelist not found")</f>
        <v/>
      </c>
      <c r="F96" s="420" t="str">
        <f ca="1">IFERROR(D96*E96,"")</f>
        <v/>
      </c>
    </row>
    <row r="97" spans="1:6" ht="14.45" customHeight="1">
      <c r="A97" s="923"/>
      <c r="B97" s="911"/>
      <c r="C97" s="9" t="s">
        <v>138</v>
      </c>
      <c r="D97" s="19">
        <f>_xlfn.XLOOKUP(C97,'Service-based'!$C$6:$C$72,'Service-based'!$E$6:$E$72)</f>
        <v>0</v>
      </c>
      <c r="E97" s="420" t="str">
        <f ca="1">IFERROR(IF(D97&gt;0,SUMIFS(INDIRECT("'Pricelist "&amp;'Solution-based'!$B$3&amp;"'!$"&amp;CHAR(70+$A$2)&amp;"$3:$"&amp;CHAR(70+$A$2)&amp;"$130"),INDIRECT("'Pricelist "&amp;'Solution-based'!$B$3&amp;"'!$O$3:$O$130"),'Calculator +1 tier'!$C97),""),"Pricelist not found")</f>
        <v/>
      </c>
      <c r="F97" s="420" t="str">
        <f t="shared" ca="1" si="5"/>
        <v/>
      </c>
    </row>
    <row r="98" spans="1:6" ht="14.45" customHeight="1">
      <c r="A98" s="923"/>
      <c r="B98" s="911"/>
      <c r="C98" s="6" t="s">
        <v>139</v>
      </c>
      <c r="D98" s="74" t="str">
        <f>_xlfn.XLOOKUP(C98,'Service-based'!$C$6:$C$72,'Service-based'!$E$6:$E$72)</f>
        <v/>
      </c>
      <c r="E98" s="420">
        <f ca="1">IFERROR(IF(D98&gt;0,SUMIFS(INDIRECT("'Pricelist "&amp;'Solution-based'!$B$3&amp;"'!$"&amp;CHAR(70+$A$2)&amp;"$3:$"&amp;CHAR(70+$A$2)&amp;"$130"),INDIRECT("'Pricelist "&amp;'Solution-based'!$B$3&amp;"'!$O$3:$O$130"),'Calculator +1 tier'!$C98),""),"Pricelist not found")</f>
        <v>0</v>
      </c>
      <c r="F98" s="420" t="str">
        <f ca="1">IFERROR(D98*E98,"")</f>
        <v/>
      </c>
    </row>
    <row r="99" spans="1:6" ht="14.45" customHeight="1">
      <c r="A99" s="923"/>
      <c r="B99" s="911"/>
      <c r="C99" s="6" t="str">
        <f>'Service-based'!C52</f>
        <v># DR and Direct Backup to Azure workloads</v>
      </c>
      <c r="D99" s="19">
        <f>_xlfn.XLOOKUP(C99,'Service-based'!$C$6:$C$72,'Service-based'!$E$6:$E$72)</f>
        <v>0</v>
      </c>
      <c r="E99" s="420" t="str">
        <f ca="1">IFERROR(IF(D99&gt;0,SUMIFS(INDIRECT("'Pricelist "&amp;'Solution-based'!$B$3&amp;"'!$"&amp;CHAR(70+$A$2)&amp;"$3:$"&amp;CHAR(70+$A$2)&amp;"$130"),INDIRECT("'Pricelist "&amp;'Solution-based'!$B$3&amp;"'!$O$3:$O$130"),'Calculator +1 tier'!$C99),""),"Pricelist not found")</f>
        <v/>
      </c>
      <c r="F99" s="420" t="str">
        <f t="shared" ca="1" si="5"/>
        <v/>
      </c>
    </row>
    <row r="100" spans="1:6" ht="15" customHeight="1">
      <c r="A100" s="923"/>
      <c r="B100" s="934"/>
      <c r="C100" s="78" t="s">
        <v>140</v>
      </c>
      <c r="D100" s="19">
        <f>_xlfn.XLOOKUP(C100,'Service-based'!$C$6:$C$72,'Service-based'!$E$6:$E$72)</f>
        <v>0</v>
      </c>
      <c r="E100" s="420" t="str">
        <f ca="1">IFERROR(IF(D100&gt;0,SUMIFS(INDIRECT("'Pricelist "&amp;'Solution-based'!$B$3&amp;"'!$"&amp;CHAR(70+$A$2)&amp;"$3:$"&amp;CHAR(70+$A$2)&amp;"$130"),INDIRECT("'Pricelist "&amp;'Solution-based'!$B$3&amp;"'!$O$3:$O$130"),'Calculator +1 tier'!$C100),""),"Pricelist not found")</f>
        <v/>
      </c>
      <c r="F100" s="420" t="str">
        <f t="shared" ca="1" si="5"/>
        <v/>
      </c>
    </row>
    <row r="101" spans="1:6" ht="15" customHeight="1">
      <c r="A101" s="923"/>
      <c r="B101" s="939" t="s">
        <v>62</v>
      </c>
      <c r="C101" s="9" t="str">
        <f>'Service-based'!C66</f>
        <v># Cyber Employee Agents</v>
      </c>
      <c r="D101" s="19">
        <f>_xlfn.XLOOKUP(C101,'Service-based'!$C$6:$C$72,'Service-based'!$E$6:$E$72)</f>
        <v>0</v>
      </c>
      <c r="E101" s="420" t="str">
        <f ca="1">IF(AND(D101&gt;0,$D$3="G2"),"Not available for G2",IFERROR(IF(D101&gt;0,SUMIFS(INDIRECT("'Pricelist "&amp;'Solution-based'!$B$3&amp;"'!$"&amp;CHAR(70+$A$2)&amp;"$3:$"&amp;CHAR(70+$A$2)&amp;"$130"),INDIRECT("'Pricelist "&amp;'Solution-based'!$B$3&amp;"'!$O$3:$O$130"),'Calculator +1 tier'!$C101),""),"Pricelist not found"))</f>
        <v/>
      </c>
      <c r="F101" s="420" t="str">
        <f t="shared" ref="F101:F106" ca="1" si="8">IFERROR(D101*E101,"")</f>
        <v/>
      </c>
    </row>
    <row r="102" spans="1:6" ht="15" customHeight="1">
      <c r="A102" s="923"/>
      <c r="B102" s="940"/>
      <c r="C102" s="9" t="str">
        <f>'Service-based'!C67</f>
        <v># Cyber Employee Usage Units</v>
      </c>
      <c r="D102" s="19">
        <f>_xlfn.XLOOKUP(C102,'Service-based'!$C$6:$C$72,'Service-based'!$E$6:$E$72)</f>
        <v>0</v>
      </c>
      <c r="E102" s="420" t="str">
        <f ca="1">IF(AND(D102&gt;0,$D$3="G2"),"Not available for G2",IFERROR(IF(D102&gt;0,SUMIFS(INDIRECT("'Pricelist "&amp;'Solution-based'!$B$3&amp;"'!$"&amp;CHAR(70+$A$2)&amp;"$3:$"&amp;CHAR(70+$A$2)&amp;"$130"),INDIRECT("'Pricelist "&amp;'Solution-based'!$B$3&amp;"'!$O$3:$O$130"),'Calculator +1 tier'!$C102),""),"Pricelist not found"))</f>
        <v/>
      </c>
      <c r="F102" s="420" t="str">
        <f t="shared" ca="1" si="8"/>
        <v/>
      </c>
    </row>
    <row r="103" spans="1:6" ht="15" customHeight="1">
      <c r="A103" s="923" t="s">
        <v>52</v>
      </c>
      <c r="B103" s="471" t="s">
        <v>53</v>
      </c>
      <c r="C103" s="479" t="str">
        <f>'Service-based'!C60</f>
        <v># Physical Cores, Standard Support Included</v>
      </c>
      <c r="D103" s="480">
        <f>_xlfn.XLOOKUP(C103,'Service-based'!$C$6:$C$72,'Service-based'!$E$6:$E$72)</f>
        <v>0</v>
      </c>
      <c r="E103" s="474" t="str">
        <f ca="1">IFERROR(IF(D103&gt;0,SUMIFS(INDIRECT("'Pricelist "&amp;'Solution-based'!$B$3&amp;"'!$"&amp;CHAR(70+$A$2)&amp;"$3:$"&amp;CHAR(70+$A$2)&amp;"$130"),INDIRECT("'Pricelist "&amp;'Solution-based'!$B$3&amp;"'!$O$3:$O$130"),'Calculator +1 tier'!$C103),""),"Pricelist not found")</f>
        <v/>
      </c>
      <c r="F103" s="474" t="str">
        <f ca="1">IFERROR(D103*E103,"")</f>
        <v/>
      </c>
    </row>
    <row r="104" spans="1:6" ht="15" customHeight="1">
      <c r="A104" s="923"/>
      <c r="B104" s="929" t="s">
        <v>55</v>
      </c>
      <c r="C104" s="481" t="str">
        <f>'Service-based'!C61</f>
        <v># Used Standard vCPUs</v>
      </c>
      <c r="D104" s="379">
        <f>_xlfn.XLOOKUP(C104,'Service-based'!$C$6:$C$72,'Service-based'!$E$6:$E$72)</f>
        <v>0</v>
      </c>
      <c r="E104" s="476" t="str">
        <f ca="1">IFERROR(IF(D104&gt;0,SUMIFS(INDIRECT("'Pricelist "&amp;'Solution-based'!$B$3&amp;"'!$"&amp;CHAR(70+$A$2)&amp;"$3:$"&amp;CHAR(70+$A$2)&amp;"$130"),INDIRECT("'Pricelist "&amp;'Solution-based'!$B$3&amp;"'!$O$3:$O$130"),'Calculator +1 tier'!$C104),""),"Pricelist not found")</f>
        <v/>
      </c>
      <c r="F104" s="476" t="str">
        <f t="shared" ca="1" si="8"/>
        <v/>
      </c>
    </row>
    <row r="105" spans="1:6" ht="15" customHeight="1">
      <c r="A105" s="923"/>
      <c r="B105" s="930"/>
      <c r="C105" s="9" t="str">
        <f>'Service-based'!C62</f>
        <v># GB of used Standard RAM</v>
      </c>
      <c r="D105" s="19">
        <f>_xlfn.XLOOKUP(C105,'Service-based'!$C$6:$C$72,'Service-based'!$E$6:$E$72)</f>
        <v>0</v>
      </c>
      <c r="E105" s="420" t="str">
        <f ca="1">IFERROR(IF(D105&gt;0,SUMIFS(INDIRECT("'Pricelist "&amp;'Solution-based'!$B$3&amp;"'!$"&amp;CHAR(70+$A$2)&amp;"$3:$"&amp;CHAR(70+$A$2)&amp;"$130"),INDIRECT("'Pricelist "&amp;'Solution-based'!$B$3&amp;"'!$O$3:$O$130"),'Calculator +1 tier'!$C105),""),"Pricelist not found")</f>
        <v/>
      </c>
      <c r="F105" s="420" t="str">
        <f t="shared" ca="1" si="8"/>
        <v/>
      </c>
    </row>
    <row r="106" spans="1:6" ht="15" customHeight="1">
      <c r="A106" s="923"/>
      <c r="B106" s="930"/>
      <c r="C106" s="9" t="str">
        <f>'Service-based'!C63</f>
        <v>Cyber Frame Cloud Block Storage</v>
      </c>
      <c r="D106" s="19">
        <f>_xlfn.XLOOKUP(C106,'Service-based'!$C$6:$C$72,'Service-based'!$E$6:$E$72)</f>
        <v>0</v>
      </c>
      <c r="E106" s="420" t="str">
        <f ca="1">IFERROR(IF(D106&gt;0,SUMIFS(INDIRECT("'Pricelist "&amp;'Solution-based'!$B$3&amp;"'!$"&amp;CHAR(70+$A$2)&amp;"$3:$"&amp;CHAR(70+$A$2)&amp;"$130"),INDIRECT("'Pricelist "&amp;'Solution-based'!$B$3&amp;"'!$O$3:$O$130"),'Calculator +1 tier'!$C106),""),"Pricelist not found")</f>
        <v/>
      </c>
      <c r="F106" s="420" t="str">
        <f t="shared" ca="1" si="8"/>
        <v/>
      </c>
    </row>
    <row r="107" spans="1:6" ht="15" customHeight="1">
      <c r="A107" s="923"/>
      <c r="B107" s="930"/>
      <c r="C107" s="9" t="e">
        <f>'Service-based'!#REF!</f>
        <v>#REF!</v>
      </c>
      <c r="D107" s="19" t="e">
        <f>_xlfn.XLOOKUP(C107,'Service-based'!$C$6:$C$72,'Service-based'!$E$6:$E$72)</f>
        <v>#REF!</v>
      </c>
      <c r="E107" s="420" t="str">
        <f ca="1">IFERROR(IF(D107&gt;0,SUMIFS(INDIRECT("'Pricelist "&amp;'Solution-based'!$B$3&amp;"'!$"&amp;CHAR(70+$A$2)&amp;"$3:$"&amp;CHAR(70+$A$2)&amp;"$130"),INDIRECT("'Pricelist "&amp;'Solution-based'!$B$3&amp;"'!$O$3:$O$130"),'Calculator +1 tier'!$C107),""),"Pricelist not found")</f>
        <v>Pricelist not found</v>
      </c>
      <c r="F107" s="420" t="str">
        <f ca="1">IFERROR(D107*E107,"")</f>
        <v/>
      </c>
    </row>
    <row r="108" spans="1:6" ht="15" customHeight="1">
      <c r="A108" s="923"/>
      <c r="B108" s="930"/>
      <c r="C108" s="9" t="str">
        <f>'Service-based'!C64</f>
        <v># Public IPs for Cyber Frame Cloud</v>
      </c>
      <c r="D108" s="19">
        <f>_xlfn.XLOOKUP(C108,'Service-based'!$C$6:$C$72,'Service-based'!$E$6:$E$72)</f>
        <v>0</v>
      </c>
      <c r="E108" s="420" t="str">
        <f ca="1">IFERROR(IF(D108&gt;0,SUMIFS(INDIRECT("'Pricelist "&amp;'Solution-based'!$B$3&amp;"'!$"&amp;CHAR(70+$A$2)&amp;"$3:$"&amp;CHAR(70+$A$2)&amp;"$130"),INDIRECT("'Pricelist "&amp;'Solution-based'!$B$3&amp;"'!$O$3:$O$130"),'Calculator +1 tier'!$C108),""),"Pricelist not found")</f>
        <v/>
      </c>
      <c r="F108" s="420" t="str">
        <f ca="1">IFERROR(D108*E108,"")</f>
        <v/>
      </c>
    </row>
    <row r="109" spans="1:6" ht="15" customHeight="1">
      <c r="A109" s="923"/>
      <c r="B109" s="931"/>
      <c r="C109" s="78" t="str">
        <f>'Service-based'!C65</f>
        <v># Windows Licenses (per licensed vCPU)</v>
      </c>
      <c r="D109" s="482">
        <f>_xlfn.XLOOKUP(C109,'Service-based'!$C$6:$C$72,'Service-based'!$E$6:$E$72)</f>
        <v>0</v>
      </c>
      <c r="E109" s="478" t="str">
        <f ca="1">IFERROR(IF(D109&gt;0,SUMIFS(INDIRECT("'Pricelist "&amp;'Solution-based'!$B$3&amp;"'!$"&amp;CHAR(70+$A$2)&amp;"$3:$"&amp;CHAR(70+$A$2)&amp;"$130"),INDIRECT("'Pricelist "&amp;'Solution-based'!$B$3&amp;"'!$O$3:$O$130"),'Calculator +1 tier'!$C109),""),"Pricelist not found")</f>
        <v/>
      </c>
      <c r="F109" s="478" t="str">
        <f ca="1">IFERROR(D109*E109,"")</f>
        <v/>
      </c>
    </row>
    <row r="110" spans="1:6" ht="21" customHeight="1">
      <c r="A110" s="935" t="s">
        <v>581</v>
      </c>
      <c r="B110" s="912" t="s">
        <v>582</v>
      </c>
      <c r="C110" s="913"/>
      <c r="D110" s="389"/>
      <c r="E110" s="446"/>
      <c r="F110" s="446"/>
    </row>
    <row r="111" spans="1:6" ht="14.45" customHeight="1">
      <c r="A111" s="935"/>
      <c r="B111" s="911" t="s">
        <v>69</v>
      </c>
      <c r="C111" s="6" t="str">
        <f>'Service-based'!C70</f>
        <v>Cyber Files Cloud Acronis Hosted Storage (for per GB Model)</v>
      </c>
      <c r="D111" s="19">
        <f>_xlfn.XLOOKUP(C111,'Service-based'!$C$6:$C$72,'Service-based'!$E$6:$E$72)</f>
        <v>0</v>
      </c>
      <c r="E111" s="420" t="str">
        <f ca="1">IFERROR(IF(D111&gt;0,SUMIFS(INDIRECT("'Pricelist "&amp;'Solution-based'!$B$3&amp;"'!$"&amp;CHAR(70+$A$2)&amp;"$3:$"&amp;CHAR(70+$A$2)&amp;"$130"),INDIRECT("'Pricelist "&amp;'Solution-based'!$B$3&amp;"'!$O$3:$O$130"),'Calculator +1 tier'!$C111,INDIRECT("'Pricelist "&amp;'Solution-based'!$B$3&amp;"'!$E$3:$E$130"),$D$3),""),"Pricelist not found")</f>
        <v/>
      </c>
      <c r="F111" s="420" t="str">
        <f ca="1">IFERROR(D111*E111,"")</f>
        <v/>
      </c>
    </row>
    <row r="112" spans="1:6" ht="13.5" customHeight="1">
      <c r="A112" s="935"/>
      <c r="B112" s="936"/>
      <c r="C112" s="14" t="s">
        <v>152</v>
      </c>
      <c r="D112" s="19">
        <f>_xlfn.XLOOKUP(C112,'Service-based'!$C$6:$C$72,'Service-based'!$E$6:$E$72)</f>
        <v>0</v>
      </c>
      <c r="E112" s="420" t="str">
        <f ca="1">IFERROR(IF(D112&gt;0,SUMIFS(INDIRECT("'Pricelist "&amp;'Solution-based'!$B$3&amp;"'!$"&amp;CHAR(70+$A$2)&amp;"$3:$"&amp;CHAR(70+$A$2)&amp;"$130"),INDIRECT("'Pricelist "&amp;'Solution-based'!$B$3&amp;"'!$O$3:$O$130"),'Calculator +1 tier'!$C112),""),"Pricelist not found")</f>
        <v/>
      </c>
      <c r="F112" s="420" t="str">
        <f ca="1">IFERROR(D112*E112,"")</f>
        <v/>
      </c>
    </row>
    <row r="113" spans="1:8" ht="14.45" customHeight="1">
      <c r="A113" s="935"/>
      <c r="B113" s="937" t="s">
        <v>66</v>
      </c>
      <c r="C113" s="8" t="s">
        <v>67</v>
      </c>
      <c r="D113" s="19">
        <f>_xlfn.XLOOKUP(C113,'Service-based'!$C$6:$C$72,'Service-based'!$E$6:$E$72)</f>
        <v>0</v>
      </c>
      <c r="E113" s="420" t="str">
        <f ca="1">IFERROR(IF(D113&gt;0,SUMIFS(INDIRECT("'Pricelist "&amp;'Solution-based'!$B$3&amp;"'!$"&amp;CHAR(70+$A$2)&amp;"$3:$"&amp;CHAR(70+$A$2)&amp;"$130"),INDIRECT("'Pricelist "&amp;'Solution-based'!$B$3&amp;"'!$O$3:$O$130"),'Calculator +1 tier'!$C113),""),"Pricelist not found")</f>
        <v/>
      </c>
      <c r="F113" s="420" t="str">
        <f ca="1">IFERROR(D113*E113,"")</f>
        <v/>
      </c>
    </row>
    <row r="114" spans="1:8" ht="15" customHeight="1">
      <c r="A114" s="935"/>
      <c r="B114" s="938"/>
      <c r="C114" s="14" t="str">
        <f>'Service-based'!C69</f>
        <v>Cyber Files Cloud Acronis Hosted Storage (for per User Model)</v>
      </c>
      <c r="D114" s="19">
        <f>_xlfn.XLOOKUP(C114,'Service-based'!$C$6:$C$72,'Service-based'!$E$6:$E$72)</f>
        <v>0</v>
      </c>
      <c r="E114" s="420" t="str">
        <f ca="1">IFERROR(IF(D114&gt;0,SUMIFS(INDIRECT("'Pricelist "&amp;'Solution-based'!$B$3&amp;"'!$"&amp;CHAR(70+$A$2)&amp;"$3:$"&amp;CHAR(70+$A$2)&amp;"$130"),INDIRECT("'Pricelist "&amp;'Solution-based'!$B$3&amp;"'!$O$3:$O$130"),'Calculator +1 tier'!$C114,INDIRECT("'Pricelist "&amp;'Solution-based'!$B$3&amp;"'!$E$3:$E$130"),$D$3),""),"Pricelist not found")</f>
        <v/>
      </c>
      <c r="F114" s="420" t="str">
        <f ca="1">IFERROR(D114*E114,"")</f>
        <v/>
      </c>
    </row>
    <row r="115" spans="1:8" s="3" customFormat="1" ht="20.45" customHeight="1">
      <c r="A115" s="935" t="s">
        <v>71</v>
      </c>
      <c r="B115" s="932" t="s">
        <v>583</v>
      </c>
      <c r="C115" s="933"/>
      <c r="D115" s="24"/>
      <c r="E115" s="425"/>
      <c r="F115" s="425"/>
      <c r="G115"/>
      <c r="H115"/>
    </row>
    <row r="116" spans="1:8" s="3" customFormat="1" ht="20.45" customHeight="1">
      <c r="A116" s="935"/>
      <c r="B116" s="37" t="s">
        <v>69</v>
      </c>
      <c r="C116" s="7" t="s">
        <v>72</v>
      </c>
      <c r="D116" s="19">
        <f>_xlfn.XLOOKUP(C116,'Service-based'!$C$6:$C$72,'Service-based'!$E$6:$E$72)</f>
        <v>0</v>
      </c>
      <c r="E116" s="420" t="str">
        <f ca="1">IFERROR(IF(D116&gt;0,SUMIFS(INDIRECT("'Pricelist "&amp;'Solution-based'!$B$3&amp;"'!$"&amp;CHAR(70+$A$2)&amp;"$3:$"&amp;CHAR(70+$A$2)&amp;"$130"),INDIRECT("'Pricelist "&amp;'Solution-based'!$B$3&amp;"'!$O$3:$O$130"),'Calculator +1 tier'!$C116),""),"Pricelist not found")</f>
        <v/>
      </c>
      <c r="F116" s="420" t="str">
        <f ca="1">IFERROR(D116*E116,"")</f>
        <v/>
      </c>
      <c r="G116"/>
      <c r="H116"/>
    </row>
    <row r="117" spans="1:8" ht="15.6">
      <c r="A117" s="26"/>
      <c r="B117" s="17"/>
      <c r="C117" s="15"/>
      <c r="D117" s="103" t="s">
        <v>584</v>
      </c>
      <c r="E117" s="426"/>
      <c r="F117" s="428">
        <f ca="1">SUM(F5:F116)</f>
        <v>0</v>
      </c>
    </row>
    <row r="118" spans="1:8" ht="15.6">
      <c r="A118" s="5"/>
      <c r="B118" s="5"/>
      <c r="C118" s="5"/>
      <c r="D118" s="25" t="s">
        <v>76</v>
      </c>
      <c r="E118" s="427"/>
      <c r="F118" s="429" t="e" vm="3">
        <f ca="1">IF(F117&gt;D2,F117,D2)</f>
        <v>#VALUE!</v>
      </c>
    </row>
    <row r="119" spans="1:8" ht="15.6">
      <c r="A119" s="5"/>
      <c r="B119" s="5"/>
      <c r="C119" s="5"/>
      <c r="D119" s="25" t="s">
        <v>77</v>
      </c>
      <c r="E119" s="427"/>
      <c r="F119" s="429" t="e" vm="3">
        <f ca="1">F118*12</f>
        <v>#VALUE!</v>
      </c>
    </row>
  </sheetData>
  <mergeCells count="37">
    <mergeCell ref="A101:A102"/>
    <mergeCell ref="A103:A109"/>
    <mergeCell ref="B104:B109"/>
    <mergeCell ref="A115:A116"/>
    <mergeCell ref="B115:C115"/>
    <mergeCell ref="A110:A114"/>
    <mergeCell ref="B110:C110"/>
    <mergeCell ref="B111:B112"/>
    <mergeCell ref="B113:B114"/>
    <mergeCell ref="B101:B102"/>
    <mergeCell ref="E3:F3"/>
    <mergeCell ref="B19:B24"/>
    <mergeCell ref="B72:B74"/>
    <mergeCell ref="A76:A100"/>
    <mergeCell ref="B82:B89"/>
    <mergeCell ref="B91:B92"/>
    <mergeCell ref="B35:B40"/>
    <mergeCell ref="B75:C75"/>
    <mergeCell ref="B96:B100"/>
    <mergeCell ref="B76:B79"/>
    <mergeCell ref="A32:A33"/>
    <mergeCell ref="E2:F2"/>
    <mergeCell ref="A46:A74"/>
    <mergeCell ref="B2:C2"/>
    <mergeCell ref="B4:C4"/>
    <mergeCell ref="B46:B59"/>
    <mergeCell ref="B63:C63"/>
    <mergeCell ref="B64:B67"/>
    <mergeCell ref="B3:C3"/>
    <mergeCell ref="A5:A31"/>
    <mergeCell ref="B5:B7"/>
    <mergeCell ref="B8:B13"/>
    <mergeCell ref="B14:B18"/>
    <mergeCell ref="B27:B29"/>
    <mergeCell ref="B41:B44"/>
    <mergeCell ref="A34:A40"/>
    <mergeCell ref="B30:B31"/>
  </mergeCells>
  <conditionalFormatting sqref="E118:F119">
    <cfRule type="expression" dxfId="1" priority="1">
      <formula>AND(#REF!&lt;#REF!,(SUM(#REF!)*#REF!&gt;0))</formula>
    </cfRule>
  </conditionalFormatting>
  <dataValidations count="10">
    <dataValidation allowBlank="1" showInputMessage="1" showErrorMessage="1" promptTitle="Service Provider Hosted Storage" prompt="Storage hosted on Service Provider Datacenter or Public Cloud managed by Service Provider (Azure, AWS, etc.)" sqref="C112 C66" xr:uid="{9CB3AF04-AC48-4A3E-A513-1DF14CDB3AF6}"/>
    <dataValidation allowBlank="1" showInputMessage="1" showErrorMessage="1" promptTitle="&gt;&gt;&gt;&gt;&gt;Customer Local Storage&lt;&lt;&lt;&lt;&lt;" prompt="Any storage that is local to the customer and that will be used for backups: Removable drives, Network Shares, Internal disks, etc." sqref="C67:C71" xr:uid="{A3FC44D3-1788-4D74-B506-53F290B16A62}"/>
    <dataValidation allowBlank="1" showInputMessage="1" showErrorMessage="1" promptTitle="&gt;&gt;&gt;&gt;&gt;Compute Points&lt;&lt;&lt;&lt;&lt;" sqref="C98:C99" xr:uid="{9B3F3D1B-2E6E-47F4-95C2-6F7472D9F1CD}"/>
    <dataValidation allowBlank="1" showErrorMessage="1" sqref="D115" xr:uid="{00000000-0002-0000-0100-000005000000}"/>
    <dataValidation allowBlank="1" showErrorMessage="1" promptTitle="Service Provider Hosted Storage" sqref="C116" xr:uid="{4E713A13-AF02-4C37-9F19-61D579491712}"/>
    <dataValidation allowBlank="1" showInputMessage="1" showErrorMessage="1" promptTitle="&gt;&gt;&gt;&gt;&gt;Acronis Hosted Storage&lt;&lt;&lt;&lt;&lt;" prompt="At Acronis Datacenter" sqref="C111" xr:uid="{066C181D-DE7D-4FD5-AAB3-8A7A15BC2DCA}"/>
    <dataValidation allowBlank="1" showErrorMessage="1" prompt="At Acronis Datacenter and/or Azure/Google storage managed by Acronis " sqref="C113" xr:uid="{5C2589D3-670B-4CF0-9D94-81DBF832D7DB}"/>
    <dataValidation allowBlank="1" showErrorMessage="1" promptTitle="Service Provider Hosted Storage" prompt="Storage hosted on Service Provider Datacenter or Public Cloud managed by Service Provider (Azure, AWS, etc.)" sqref="C113:C114" xr:uid="{08615E91-F900-4E7B-B5F6-DABC8A5F4329}"/>
    <dataValidation allowBlank="1" showInputMessage="1" showErrorMessage="1" promptTitle="Azure/Google Cloud storage" prompt="Cloud Azure/Google storage managed by Acronis at selected locations" sqref="C59:C62 C65" xr:uid="{F2EC249E-0BD7-4F57-A447-CE34E65DD0DE}"/>
    <dataValidation allowBlank="1" showInputMessage="1" showErrorMessage="1" promptTitle="&gt;&gt;&gt;&gt;&gt;Public IPs&lt;&lt;&lt;&lt;&lt;" prompt="Public IPs are optional. Only required for public facing services, i.e. Mail Server or Web Portal. 1 IP is assigned to 1 server and is reserved for that server." sqref="C100:C109" xr:uid="{0C12AD5D-7356-4117-BC08-FD258ED0B237}"/>
  </dataValidations>
  <hyperlinks>
    <hyperlink ref="B3:C3" location="'DCs by groups'!A1" display="2. Choose Datacenter Group: " xr:uid="{B51682DE-9A4B-449A-86E6-C079C26FD0CD}"/>
    <hyperlink ref="C98" location="'Compute Points'!A1" display="Monthly Compute Point Consumption" xr:uid="{3C85F7C8-912D-4865-8D46-43EB3396F4CD}"/>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83CF549-CFF5-49ED-B0FE-B9D0D3A2FF16}">
          <x14:formula1>
            <xm:f>'Cloud DCs'!$I$2:$I$4</xm:f>
          </x14:formula1>
          <xm:sqref>D3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2:H119"/>
  <sheetViews>
    <sheetView topLeftCell="A100" zoomScale="80" zoomScaleNormal="80" workbookViewId="0">
      <selection activeCell="W122" sqref="W122"/>
    </sheetView>
  </sheetViews>
  <sheetFormatPr defaultColWidth="8.85546875" defaultRowHeight="14.45"/>
  <cols>
    <col min="1" max="1" width="19.42578125" customWidth="1"/>
    <col min="2" max="2" width="31.42578125" bestFit="1" customWidth="1"/>
    <col min="3" max="3" width="109.7109375" customWidth="1"/>
    <col min="4" max="4" width="23.5703125" customWidth="1"/>
    <col min="5" max="5" width="20.85546875" bestFit="1" customWidth="1"/>
    <col min="6" max="6" width="25.5703125" customWidth="1"/>
    <col min="8" max="8" width="10.5703125" bestFit="1" customWidth="1"/>
  </cols>
  <sheetData>
    <row r="2" spans="1:8" ht="20.100000000000001" customHeight="1">
      <c r="A2" s="140">
        <f ca="1">'Solution-based'!D5+1</f>
        <v>2</v>
      </c>
      <c r="B2" s="906" t="s">
        <v>4</v>
      </c>
      <c r="C2" s="907"/>
      <c r="D2" s="452" cm="1">
        <f t="array" aca="1" ref="D2" ca="1">INDEX(INDIRECT("'Pricelist "&amp;'Solution-based'!$B$3&amp;"'!$G$2:$N$2"),1,A2)</f>
        <v>500</v>
      </c>
      <c r="E2" s="902"/>
      <c r="F2" s="902"/>
    </row>
    <row r="3" spans="1:8" ht="20.100000000000001" customHeight="1">
      <c r="A3" s="18"/>
      <c r="B3" s="916" t="s">
        <v>560</v>
      </c>
      <c r="C3" s="917"/>
      <c r="D3" s="35" t="str">
        <f>'Service-based'!E4</f>
        <v>G1</v>
      </c>
      <c r="E3" s="925"/>
      <c r="F3" s="926"/>
    </row>
    <row r="4" spans="1:8" ht="27.95">
      <c r="A4" s="16"/>
      <c r="B4" s="948" t="s">
        <v>561</v>
      </c>
      <c r="C4" s="913"/>
      <c r="D4" s="10" t="s">
        <v>9</v>
      </c>
      <c r="E4" s="10" t="s">
        <v>10</v>
      </c>
      <c r="F4" s="11" t="s">
        <v>562</v>
      </c>
    </row>
    <row r="5" spans="1:8" ht="17.45" customHeight="1">
      <c r="A5" s="942" t="s">
        <v>563</v>
      </c>
      <c r="B5" s="950" t="s">
        <v>564</v>
      </c>
      <c r="C5" s="387" t="str">
        <f>'Calculator -1 tier'!C5</f>
        <v># Endpoint Security (Servers, VMs, Workstations)</v>
      </c>
      <c r="D5" s="475">
        <f>'Calculator -1 tier'!D5</f>
        <v>0</v>
      </c>
      <c r="E5" s="434" t="str">
        <f ca="1">IFERROR(IF(D5&gt;0,SUMIFS(INDIRECT("'Pricelist "&amp;'Solution-based'!$B$3&amp;"'!$"&amp;CHAR(70+$A$2)&amp;"$3:$"&amp;CHAR(70+$A$2)&amp;"$130"),INDIRECT("'Pricelist "&amp;'Solution-based'!$B$3&amp;"'!$O$3:$O$130"),'Calculator +1 tier'!$C5),""),"Pricelist not found")</f>
        <v/>
      </c>
      <c r="F5" s="435" t="str">
        <f t="shared" ref="F5:F46" ca="1" si="0">IFERROR(D5*E5,"")</f>
        <v/>
      </c>
      <c r="H5" s="396"/>
    </row>
    <row r="6" spans="1:8" ht="17.45" customHeight="1">
      <c r="A6" s="943"/>
      <c r="B6" s="951"/>
      <c r="C6" s="365" t="str">
        <f>'Calculator -1 tier'!C6</f>
        <v># Microsoft 365 Security</v>
      </c>
      <c r="D6" s="85">
        <f>'Calculator -1 tier'!D6</f>
        <v>0</v>
      </c>
      <c r="E6" s="432" t="str">
        <f ca="1">IFERROR(IF(D6&gt;0,SUMIFS(INDIRECT("'Pricelist "&amp;'Solution-based'!$B$3&amp;"'!$"&amp;CHAR(70+$A$2)&amp;"$3:$"&amp;CHAR(70+$A$2)&amp;"$130"),INDIRECT("'Pricelist "&amp;'Solution-based'!$B$3&amp;"'!$O$3:$O$130"),'Calculator +1 tier'!$C6),""),"Pricelist not found")</f>
        <v/>
      </c>
      <c r="F6" s="436" t="str">
        <f t="shared" ca="1" si="0"/>
        <v/>
      </c>
      <c r="H6" s="396"/>
    </row>
    <row r="7" spans="1:8" ht="17.45" customHeight="1">
      <c r="A7" s="943"/>
      <c r="B7" s="951"/>
      <c r="C7" s="366" t="str">
        <f>'Calculator -1 tier'!C7</f>
        <v># Google Workspace Security</v>
      </c>
      <c r="D7" s="86">
        <f>'Calculator -1 tier'!D7</f>
        <v>0</v>
      </c>
      <c r="E7" s="432" t="str">
        <f ca="1">IFERROR(IF(D7&gt;0,SUMIFS(INDIRECT("'Pricelist "&amp;'Solution-based'!$B$3&amp;"'!$"&amp;CHAR(70+$A$2)&amp;"$3:$"&amp;CHAR(70+$A$2)&amp;"$130"),INDIRECT("'Pricelist "&amp;'Solution-based'!$B$3&amp;"'!$O$3:$O$130"),'Calculator +1 tier'!$C7),""),"Pricelist not found")</f>
        <v/>
      </c>
      <c r="F7" s="436" t="str">
        <f t="shared" ca="1" si="0"/>
        <v/>
      </c>
      <c r="H7" s="396"/>
    </row>
    <row r="8" spans="1:8" ht="17.45" customHeight="1">
      <c r="A8" s="943"/>
      <c r="B8" s="951" t="s">
        <v>565</v>
      </c>
      <c r="C8" s="365" t="str">
        <f>'Calculator -1 tier'!C8</f>
        <v># BDR Server (3 TB of Acronis Hosted Storage included)</v>
      </c>
      <c r="D8" s="85">
        <f>'Calculator -1 tier'!D8</f>
        <v>0</v>
      </c>
      <c r="E8" s="432" t="str">
        <f ca="1">IFERROR(IF(D8&gt;0,SUMIFS(INDIRECT("'Pricelist "&amp;'Solution-based'!$B$3&amp;"'!$"&amp;CHAR(70+$A$2)&amp;"$3:$"&amp;CHAR(70+$A$2)&amp;"$130"),INDIRECT("'Pricelist "&amp;'Solution-based'!$B$3&amp;"'!$O$3:$O$130"),'Calculator +1 tier'!$C8,INDIRECT("'Pricelist "&amp;'Solution-based'!$B$3&amp;"'!$E$3:$E$130"),$D$3),""),"Pricelist not found")</f>
        <v/>
      </c>
      <c r="F8" s="436" t="str">
        <f t="shared" ca="1" si="0"/>
        <v/>
      </c>
      <c r="H8" s="396"/>
    </row>
    <row r="9" spans="1:8" ht="17.45" customHeight="1">
      <c r="A9" s="943"/>
      <c r="B9" s="951"/>
      <c r="C9" s="366" t="str">
        <f>'Calculator -1 tier'!C9</f>
        <v># BDR Virtual Machine (2 TB of Acronis Hosted Storage included)</v>
      </c>
      <c r="D9" s="86">
        <f>'Calculator -1 tier'!D9</f>
        <v>0</v>
      </c>
      <c r="E9" s="432" t="str">
        <f ca="1">IFERROR(IF(D9&gt;0,SUMIFS(INDIRECT("'Pricelist "&amp;'Solution-based'!$B$3&amp;"'!$"&amp;CHAR(70+$A$2)&amp;"$3:$"&amp;CHAR(70+$A$2)&amp;"$130"),INDIRECT("'Pricelist "&amp;'Solution-based'!$B$3&amp;"'!$O$3:$O$130"),'Calculator +1 tier'!$C9,INDIRECT("'Pricelist "&amp;'Solution-based'!$B$3&amp;"'!$E$3:$E$130"),$D$3),""),"Pricelist not found")</f>
        <v/>
      </c>
      <c r="F9" s="436" t="str">
        <f t="shared" ca="1" si="0"/>
        <v/>
      </c>
      <c r="H9" s="396"/>
    </row>
    <row r="10" spans="1:8" ht="17.45" customHeight="1">
      <c r="A10" s="943"/>
      <c r="B10" s="951"/>
      <c r="C10" s="365" t="str">
        <f>'Calculator -1 tier'!C10</f>
        <v># BDR Workstation (300 GB of Acronis Hosted Storage included)</v>
      </c>
      <c r="D10" s="85">
        <f>'Calculator -1 tier'!D10</f>
        <v>0</v>
      </c>
      <c r="E10" s="432" t="str">
        <f ca="1">IFERROR(IF(D10&gt;0,SUMIFS(INDIRECT("'Pricelist "&amp;'Solution-based'!$B$3&amp;"'!$"&amp;CHAR(70+$A$2)&amp;"$3:$"&amp;CHAR(70+$A$2)&amp;"$130"),INDIRECT("'Pricelist "&amp;'Solution-based'!$B$3&amp;"'!$O$3:$O$130"),'Calculator +1 tier'!$C10,INDIRECT("'Pricelist "&amp;'Solution-based'!$B$3&amp;"'!$E$3:$E$130"),$D$3),""),"Pricelist not found")</f>
        <v/>
      </c>
      <c r="F10" s="436" t="str">
        <f t="shared" ca="1" si="0"/>
        <v/>
      </c>
      <c r="H10" s="396"/>
    </row>
    <row r="11" spans="1:8" ht="17.45" customHeight="1">
      <c r="A11" s="943"/>
      <c r="B11" s="951"/>
      <c r="C11" s="367" t="str">
        <f>'Calculator -1 tier'!C11</f>
        <v># Microsoft 365 Backup + Archiving (unlimited Acronis Hosted Cloud Storage included*)</v>
      </c>
      <c r="D11" s="86">
        <f>'Calculator -1 tier'!D11</f>
        <v>0</v>
      </c>
      <c r="E11" s="432" t="str">
        <f ca="1">IFERROR(IF(D11&gt;0,SUMIFS(INDIRECT("'Pricelist "&amp;'Solution-based'!$B$3&amp;"'!$"&amp;CHAR(70+$A$2)&amp;"$3:$"&amp;CHAR(70+$A$2)&amp;"$130"),INDIRECT("'Pricelist "&amp;'Solution-based'!$B$3&amp;"'!$O$3:$O$130"),'Calculator +1 tier'!$C11,INDIRECT("'Pricelist "&amp;'Solution-based'!$B$3&amp;"'!$E$3:$E$130"),$D$3),""),"Pricelist not found")</f>
        <v/>
      </c>
      <c r="F11" s="436" t="str">
        <f t="shared" ca="1" si="0"/>
        <v/>
      </c>
      <c r="H11" s="396"/>
    </row>
    <row r="12" spans="1:8" ht="17.45" customHeight="1">
      <c r="A12" s="943"/>
      <c r="B12" s="951"/>
      <c r="C12" s="365" t="str">
        <f>'Calculator -1 tier'!C12</f>
        <v># Google Workspace Backup (unlimited Acronis Hosted Cloud Storage included*)</v>
      </c>
      <c r="D12" s="85">
        <f>'Calculator -1 tier'!D12</f>
        <v>0</v>
      </c>
      <c r="E12" s="432" t="str">
        <f ca="1">IFERROR(IF(D12&gt;0,SUMIFS(INDIRECT("'Pricelist "&amp;'Solution-based'!$B$3&amp;"'!$"&amp;CHAR(70+$A$2)&amp;"$3:$"&amp;CHAR(70+$A$2)&amp;"$130"),INDIRECT("'Pricelist "&amp;'Solution-based'!$B$3&amp;"'!$O$3:$O$130"),'Calculator +1 tier'!$C12,INDIRECT("'Pricelist "&amp;'Solution-based'!$B$3&amp;"'!$E$3:$E$130"),$D$3),""),"Pricelist not found")</f>
        <v/>
      </c>
      <c r="F12" s="436" t="str">
        <f t="shared" ca="1" si="0"/>
        <v/>
      </c>
      <c r="H12" s="396"/>
    </row>
    <row r="13" spans="1:8" ht="17.45" customHeight="1">
      <c r="A13" s="943"/>
      <c r="B13" s="951"/>
      <c r="C13" s="365" t="str">
        <f>'Calculator -1 tier'!C13</f>
        <v># Mobile Backup (50 GB od Acronis Hosted Storage included)</v>
      </c>
      <c r="D13" s="85">
        <f>'Calculator -1 tier'!D13</f>
        <v>0</v>
      </c>
      <c r="E13" s="432" t="str">
        <f ca="1">IFERROR(IF(D13&gt;0,SUMIFS(INDIRECT("'Pricelist "&amp;'Solution-based'!$B$3&amp;"'!$"&amp;CHAR(70+$A$2)&amp;"$3:$"&amp;CHAR(70+$A$2)&amp;"$130"),INDIRECT("'Pricelist "&amp;'Solution-based'!$B$3&amp;"'!$O$3:$O$130"),'Calculator +1 tier'!$C13,INDIRECT("'Pricelist "&amp;'Solution-based'!$B$3&amp;"'!$E$3:$E$130"),$D$3),""),"Pricelist not found")</f>
        <v/>
      </c>
      <c r="F13" s="436" t="str">
        <f t="shared" ca="1" si="0"/>
        <v/>
      </c>
      <c r="H13" s="396"/>
    </row>
    <row r="14" spans="1:8" ht="17.45" customHeight="1">
      <c r="A14" s="943"/>
      <c r="B14" s="951" t="s">
        <v>566</v>
      </c>
      <c r="C14" s="366" t="str">
        <f>'Calculator -1 tier'!C14</f>
        <v># Ultimate Server (3 TB of Acronis Hosted Storage included)</v>
      </c>
      <c r="D14" s="86">
        <f>'Calculator -1 tier'!D14</f>
        <v>0</v>
      </c>
      <c r="E14" s="432" t="str">
        <f ca="1">IFERROR(IF(D14&gt;0,SUMIFS(INDIRECT("'Pricelist "&amp;'Solution-based'!$B$3&amp;"'!$"&amp;CHAR(70+$A$2)&amp;"$3:$"&amp;CHAR(70+$A$2)&amp;"$130"),INDIRECT("'Pricelist "&amp;'Solution-based'!$B$3&amp;"'!$O$3:$O$130"),'Calculator +1 tier'!$C14,INDIRECT("'Pricelist "&amp;'Solution-based'!$B$3&amp;"'!$E$3:$E$130"),$D$3),""),"Pricelist not found")</f>
        <v/>
      </c>
      <c r="F14" s="436" t="str">
        <f t="shared" ca="1" si="0"/>
        <v/>
      </c>
      <c r="H14" s="396"/>
    </row>
    <row r="15" spans="1:8" ht="17.45" customHeight="1">
      <c r="A15" s="943"/>
      <c r="B15" s="951"/>
      <c r="C15" s="365" t="str">
        <f>'Calculator -1 tier'!C15</f>
        <v># Ultimate Virtual Machine (2 TB of Acronis Hosted Storage included)</v>
      </c>
      <c r="D15" s="85">
        <f>'Calculator -1 tier'!D15</f>
        <v>0</v>
      </c>
      <c r="E15" s="432" t="str">
        <f ca="1">IFERROR(IF(D15&gt;0,SUMIFS(INDIRECT("'Pricelist "&amp;'Solution-based'!$B$3&amp;"'!$"&amp;CHAR(70+$A$2)&amp;"$3:$"&amp;CHAR(70+$A$2)&amp;"$130"),INDIRECT("'Pricelist "&amp;'Solution-based'!$B$3&amp;"'!$O$3:$O$130"),'Calculator +1 tier'!$C15,INDIRECT("'Pricelist "&amp;'Solution-based'!$B$3&amp;"'!$E$3:$E$130"),$D$3),""),"Pricelist not found")</f>
        <v/>
      </c>
      <c r="F15" s="436" t="str">
        <f t="shared" ca="1" si="0"/>
        <v/>
      </c>
      <c r="H15" s="396"/>
    </row>
    <row r="16" spans="1:8" ht="17.45" customHeight="1">
      <c r="A16" s="943"/>
      <c r="B16" s="951"/>
      <c r="C16" s="366" t="str">
        <f>'Calculator -1 tier'!C16</f>
        <v># Ultimate Workstation (300 GB of Acronis Hosted Storage included)</v>
      </c>
      <c r="D16" s="86">
        <f>'Calculator -1 tier'!D16</f>
        <v>0</v>
      </c>
      <c r="E16" s="432" t="str">
        <f ca="1">IFERROR(IF(D16&gt;0,SUMIFS(INDIRECT("'Pricelist "&amp;'Solution-based'!$B$3&amp;"'!$"&amp;CHAR(70+$A$2)&amp;"$3:$"&amp;CHAR(70+$A$2)&amp;"$130"),INDIRECT("'Pricelist "&amp;'Solution-based'!$B$3&amp;"'!$O$3:$O$130"),'Calculator +1 tier'!$C16,INDIRECT("'Pricelist "&amp;'Solution-based'!$B$3&amp;"'!$E$3:$E$130"),$D$3),""),"Pricelist not found")</f>
        <v/>
      </c>
      <c r="F16" s="436" t="str">
        <f t="shared" ca="1" si="0"/>
        <v/>
      </c>
      <c r="H16" s="396"/>
    </row>
    <row r="17" spans="1:8" ht="17.45" customHeight="1">
      <c r="A17" s="943"/>
      <c r="B17" s="951"/>
      <c r="C17" s="365" t="str">
        <f>'Calculator -1 tier'!C17</f>
        <v># Ultimate Microsoft 365 (unlimited Acronis Hosted Cloud Storage included*)</v>
      </c>
      <c r="D17" s="85">
        <f>'Calculator -1 tier'!D17</f>
        <v>0</v>
      </c>
      <c r="E17" s="432" t="str">
        <f ca="1">IFERROR(IF(D17&gt;0,SUMIFS(INDIRECT("'Pricelist "&amp;'Solution-based'!$B$3&amp;"'!$"&amp;CHAR(70+$A$2)&amp;"$3:$"&amp;CHAR(70+$A$2)&amp;"$130"),INDIRECT("'Pricelist "&amp;'Solution-based'!$B$3&amp;"'!$O$3:$O$130"),'Calculator +1 tier'!$C17,INDIRECT("'Pricelist "&amp;'Solution-based'!$B$3&amp;"'!$E$3:$E$130"),$D$3),""),"Pricelist not found")</f>
        <v/>
      </c>
      <c r="F17" s="436" t="str">
        <f t="shared" ca="1" si="0"/>
        <v/>
      </c>
      <c r="H17" s="396"/>
    </row>
    <row r="18" spans="1:8" ht="17.45" customHeight="1">
      <c r="A18" s="943"/>
      <c r="B18" s="951"/>
      <c r="C18" s="367" t="str">
        <f>'Calculator -1 tier'!C18</f>
        <v># Ultimate Google Workspace (unlimited Acronis Hosted Cloud Storage included*)</v>
      </c>
      <c r="D18" s="86">
        <f>'Calculator -1 tier'!D18</f>
        <v>0</v>
      </c>
      <c r="E18" s="432" t="str">
        <f ca="1">IFERROR(IF(D18&gt;0,SUMIFS(INDIRECT("'Pricelist "&amp;'Solution-based'!$B$3&amp;"'!$"&amp;CHAR(70+$A$2)&amp;"$3:$"&amp;CHAR(70+$A$2)&amp;"$130"),INDIRECT("'Pricelist "&amp;'Solution-based'!$B$3&amp;"'!$O$3:$O$130"),'Calculator +1 tier'!$C18,INDIRECT("'Pricelist "&amp;'Solution-based'!$B$3&amp;"'!$E$3:$E$130"),$D$3),""),"Pricelist not found")</f>
        <v/>
      </c>
      <c r="F18" s="436" t="str">
        <f t="shared" ca="1" si="0"/>
        <v/>
      </c>
      <c r="H18" s="396"/>
    </row>
    <row r="19" spans="1:8" ht="17.45" customHeight="1">
      <c r="A19" s="943"/>
      <c r="B19" s="951" t="s">
        <v>31</v>
      </c>
      <c r="C19" s="365" t="str">
        <f>'Calculator -1 tier'!C19</f>
        <v># Standard In-house MDR Workloads for Solution-Base Licensing, Partner-level (Servers, VMs, Workstations, Hosting Servers)</v>
      </c>
      <c r="D19" s="85">
        <f>'Calculator -1 tier'!D19</f>
        <v>0</v>
      </c>
      <c r="E19" s="432" t="str">
        <f ca="1">IFERROR(IF(D19&gt;0,SUMIFS(INDIRECT("'Pricelist "&amp;'Solution-based'!$B$3&amp;"'!$"&amp;CHAR(70+$A$2)&amp;"$3:$"&amp;CHAR(70+$A$2)&amp;"$130"),INDIRECT("'Pricelist "&amp;'Solution-based'!$B$3&amp;"'!$O$3:$O$130"),'Calculator +1 tier'!$C19),""),"Pricelist not found")</f>
        <v/>
      </c>
      <c r="F19" s="436" t="str">
        <f t="shared" ref="F19:F20" ca="1" si="1">IFERROR(D19*E19,"")</f>
        <v/>
      </c>
      <c r="H19" s="396"/>
    </row>
    <row r="20" spans="1:8" ht="17.45" customHeight="1">
      <c r="A20" s="943"/>
      <c r="B20" s="951"/>
      <c r="C20" s="366" t="str">
        <f>'Calculator -1 tier'!C20</f>
        <v># Advanced In-house MDR Workloads for Solution-Base Licensing, Partner-level (Servers, VMs, Workstations, Hosting Servers)</v>
      </c>
      <c r="D20" s="86">
        <f>'Calculator -1 tier'!D20</f>
        <v>0</v>
      </c>
      <c r="E20" s="432" t="str">
        <f ca="1">IFERROR(IF(D20&gt;0,SUMIFS(INDIRECT("'Pricelist "&amp;'Solution-based'!$B$3&amp;"'!$"&amp;CHAR(70+$A$2)&amp;"$3:$"&amp;CHAR(70+$A$2)&amp;"$130"),INDIRECT("'Pricelist "&amp;'Solution-based'!$B$3&amp;"'!$O$3:$O$130"),'Calculator +1 tier'!$C20),""),"Pricelist not found")</f>
        <v/>
      </c>
      <c r="F20" s="436" t="str">
        <f t="shared" ca="1" si="1"/>
        <v/>
      </c>
      <c r="H20" s="396"/>
    </row>
    <row r="21" spans="1:8" ht="17.45" customHeight="1">
      <c r="A21" s="943"/>
      <c r="B21" s="951"/>
      <c r="C21" s="366" t="str">
        <f>'Calculator -1 tier'!C21</f>
        <v># Standard In-house MDR Workloads for Solution-Base Licensing, Customer-level (Servers, VMs, Workstations, Hosting Servers)</v>
      </c>
      <c r="D21" s="86">
        <f>'Calculator -1 tier'!D21</f>
        <v>0</v>
      </c>
      <c r="E21" s="432" t="str">
        <f ca="1">IFERROR(IF(D21&gt;0,SUMIFS(INDIRECT("'Pricelist "&amp;'Solution-based'!$B$3&amp;"'!$"&amp;CHAR(70+$A$2)&amp;"$3:$"&amp;CHAR(70+$A$2)&amp;"$130"),INDIRECT("'Pricelist "&amp;'Solution-based'!$B$3&amp;"'!$O$3:$O$130"),'Calculator +1 tier'!$C21),""),"Pricelist not found")</f>
        <v/>
      </c>
      <c r="F21" s="436" t="str">
        <f t="shared" ref="F21:F22" ca="1" si="2">IFERROR(D21*E21,"")</f>
        <v/>
      </c>
      <c r="H21" s="396"/>
    </row>
    <row r="22" spans="1:8" ht="17.45" customHeight="1">
      <c r="A22" s="943"/>
      <c r="B22" s="951"/>
      <c r="C22" s="366" t="str">
        <f>'Calculator -1 tier'!C22</f>
        <v># Advanced In-house MDR Workloads for Solution-Base Licensing, Customer-level (Servers, VMs, Workstations, Hosting Servers)</v>
      </c>
      <c r="D22" s="86">
        <f>'Calculator -1 tier'!D22</f>
        <v>0</v>
      </c>
      <c r="E22" s="432" t="str">
        <f ca="1">IFERROR(IF(D22&gt;0,SUMIFS(INDIRECT("'Pricelist "&amp;'Solution-based'!$B$3&amp;"'!$"&amp;CHAR(70+$A$2)&amp;"$3:$"&amp;CHAR(70+$A$2)&amp;"$130"),INDIRECT("'Pricelist "&amp;'Solution-based'!$B$3&amp;"'!$O$3:$O$130"),'Calculator +1 tier'!$C22),""),"Pricelist not found")</f>
        <v/>
      </c>
      <c r="F22" s="436" t="str">
        <f t="shared" ca="1" si="2"/>
        <v/>
      </c>
      <c r="H22" s="396"/>
    </row>
    <row r="23" spans="1:8" ht="17.45" customHeight="1">
      <c r="A23" s="943"/>
      <c r="B23" s="951"/>
      <c r="C23" s="365" t="str">
        <f>'Calculator -1 tier'!C23</f>
        <v># Standard 3rd Party MDR Workloads for Solution-Base Licensing (Servers, VMs, Workstations, Hosting Servers)</v>
      </c>
      <c r="D23" s="85">
        <f>'Calculator -1 tier'!D23</f>
        <v>0</v>
      </c>
      <c r="E23" s="432" t="str">
        <f ca="1">IFERROR(IF(D23&gt;0,SUMIFS(INDIRECT("'Pricelist "&amp;'Solution-based'!$B$3&amp;"'!$"&amp;CHAR(70+$A$2)&amp;"$3:$"&amp;CHAR(70+$A$2)&amp;"$130"),INDIRECT("'Pricelist "&amp;'Solution-based'!$B$3&amp;"'!$O$3:$O$130"),'Calculator +1 tier'!$C23),""),"Pricelist not found")</f>
        <v/>
      </c>
      <c r="F23" s="436" t="str">
        <f t="shared" ca="1" si="0"/>
        <v/>
      </c>
      <c r="H23" s="396"/>
    </row>
    <row r="24" spans="1:8" ht="17.45" customHeight="1">
      <c r="A24" s="943"/>
      <c r="B24" s="951"/>
      <c r="C24" s="366" t="str">
        <f>'Calculator -1 tier'!C24</f>
        <v># Advanced 3rd Party MDR Workloads for Solution-Base Licensing (Servers, VMs, Workstations, Hosting Servers)</v>
      </c>
      <c r="D24" s="86">
        <f>'Calculator -1 tier'!D24</f>
        <v>0</v>
      </c>
      <c r="E24" s="432" t="str">
        <f ca="1">IFERROR(IF(D24&gt;0,SUMIFS(INDIRECT("'Pricelist "&amp;'Solution-based'!$B$3&amp;"'!$"&amp;CHAR(70+$A$2)&amp;"$3:$"&amp;CHAR(70+$A$2)&amp;"$130"),INDIRECT("'Pricelist "&amp;'Solution-based'!$B$3&amp;"'!$O$3:$O$130"),'Calculator +1 tier'!$C24),""),"Pricelist not found")</f>
        <v/>
      </c>
      <c r="F24" s="436" t="str">
        <f t="shared" ca="1" si="0"/>
        <v/>
      </c>
      <c r="H24" s="396"/>
    </row>
    <row r="25" spans="1:8" ht="17.45" customHeight="1">
      <c r="A25" s="943"/>
      <c r="B25" s="364" t="s">
        <v>39</v>
      </c>
      <c r="C25" s="365" t="str">
        <f>'Calculator -1 tier'!C25</f>
        <v># Security Awareness Training for Solution-based Licensing (Users)</v>
      </c>
      <c r="D25" s="85">
        <f>'Calculator -1 tier'!D25</f>
        <v>0</v>
      </c>
      <c r="E25" s="432" t="str">
        <f ca="1">IFERROR(IF(D25&gt;0,SUMIFS(INDIRECT("'Pricelist "&amp;'Solution-based'!$B$3&amp;"'!$"&amp;CHAR(70+$A$2)&amp;"$3:$"&amp;CHAR(70+$A$2)&amp;"$130"),INDIRECT("'Pricelist "&amp;'Solution-based'!$B$3&amp;"'!$O$3:$O$130"),'Calculator +1 tier'!$C25),""),"Pricelist not found")</f>
        <v/>
      </c>
      <c r="F25" s="436" t="str">
        <f t="shared" ca="1" si="0"/>
        <v/>
      </c>
      <c r="H25" s="396"/>
    </row>
    <row r="26" spans="1:8" ht="17.45" customHeight="1">
      <c r="A26" s="943"/>
      <c r="B26" s="364" t="s">
        <v>567</v>
      </c>
      <c r="C26" s="366" t="str">
        <f>'Calculator -1 tier'!C26</f>
        <v>Acronis Cloud Storage at Acronis Datacenter (for Solution-based Licensing overages)</v>
      </c>
      <c r="D26" s="86">
        <f>'Calculator -1 tier'!D26</f>
        <v>0</v>
      </c>
      <c r="E26" s="432" t="str">
        <f ca="1">IFERROR(IF(D26&gt;0,SUMIFS(INDIRECT("'Pricelist "&amp;'Solution-based'!$B$3&amp;"'!$"&amp;CHAR(70+$A$2)&amp;"$3:$"&amp;CHAR(70+$A$2)&amp;"$130"),INDIRECT("'Pricelist "&amp;'Solution-based'!$B$3&amp;"'!$O$3:$O$130"),'Calculator +1 tier'!$C26,INDIRECT("'Pricelist "&amp;'Solution-based'!$B$3&amp;"'!$E$3:$E$130"),$D$3),""),"Pricelist not found")</f>
        <v/>
      </c>
      <c r="F26" s="436" t="str">
        <f t="shared" ca="1" si="0"/>
        <v/>
      </c>
      <c r="H26" s="396"/>
    </row>
    <row r="27" spans="1:8" ht="17.45" customHeight="1">
      <c r="A27" s="943"/>
      <c r="B27" s="951" t="s">
        <v>44</v>
      </c>
      <c r="C27" s="365" t="str">
        <f>'Calculator -1 tier'!C27</f>
        <v>Solution-based licensing - Backup Geo-redundant - Acronis Hosted Storage</v>
      </c>
      <c r="D27" s="85">
        <f>'Calculator -1 tier'!D27</f>
        <v>0</v>
      </c>
      <c r="E27" s="432" t="str">
        <f ca="1">IF(AND(D27&gt;0,$D$3="G2"),"Not available for G2",IFERROR(IF(D27&gt;0,SUMIFS(INDIRECT("'Pricelist "&amp;'Solution-based'!$B$3&amp;"'!$"&amp;CHAR(70+$A$2)&amp;"$3:$"&amp;CHAR(70+$A$2)&amp;"$130"),INDIRECT("'Pricelist "&amp;'Solution-based'!$B$3&amp;"'!$O$3:$O$130"),'Calculator +1 tier'!$C27),""),"Pricelist not found"))</f>
        <v/>
      </c>
      <c r="F27" s="436" t="str">
        <f t="shared" ca="1" si="0"/>
        <v/>
      </c>
      <c r="H27" s="396"/>
    </row>
    <row r="28" spans="1:8" ht="17.45" customHeight="1">
      <c r="A28" s="943"/>
      <c r="B28" s="951"/>
      <c r="C28" s="366" t="str">
        <f>'Calculator -1 tier'!C28</f>
        <v>Solution-based licensing - # Geo-redundant Microsoft 365 seat (unlimited Acronis Hosted Cloud Storage included*)</v>
      </c>
      <c r="D28" s="86">
        <f>'Calculator -1 tier'!D28</f>
        <v>0</v>
      </c>
      <c r="E28" s="432" t="str">
        <f ca="1">IF(AND(D28&gt;0,$D$3="G2"),"Not available for G2",IFERROR(IF(D28&gt;0,SUMIFS(INDIRECT("'Pricelist "&amp;'Solution-based'!$B$3&amp;"'!$"&amp;CHAR(70+$A$2)&amp;"$3:$"&amp;CHAR(70+$A$2)&amp;"$130"),INDIRECT("'Pricelist "&amp;'Solution-based'!$B$3&amp;"'!$O$3:$O$130"),'Calculator +1 tier'!$C28),""),"Pricelist not found"))</f>
        <v/>
      </c>
      <c r="F28" s="436" t="str">
        <f t="shared" ca="1" si="0"/>
        <v/>
      </c>
      <c r="H28" s="396"/>
    </row>
    <row r="29" spans="1:8" ht="17.45" customHeight="1">
      <c r="A29" s="943"/>
      <c r="B29" s="951"/>
      <c r="C29" s="365" t="str">
        <f>'Calculator -1 tier'!C29</f>
        <v>Solution-based licensing - # Geo-redundant Google Workspace seat (unlimited Acronis Hosted Cloud Storage included*)</v>
      </c>
      <c r="D29" s="85">
        <f>'Calculator -1 tier'!D29</f>
        <v>0</v>
      </c>
      <c r="E29" s="432" t="str">
        <f ca="1">IF(AND(D29&gt;0,$D$3="G2"),"Not available for G2",IFERROR(IF(D29&gt;0,SUMIFS(INDIRECT("'Pricelist "&amp;'Solution-based'!$B$3&amp;"'!$"&amp;CHAR(70+$A$2)&amp;"$3:$"&amp;CHAR(70+$A$2)&amp;"$130"),INDIRECT("'Pricelist "&amp;'Solution-based'!$B$3&amp;"'!$O$3:$O$130"),'Calculator +1 tier'!$C29),""),"Pricelist not found"))</f>
        <v/>
      </c>
      <c r="F29" s="436" t="str">
        <f t="shared" ca="1" si="0"/>
        <v/>
      </c>
      <c r="H29" s="396"/>
    </row>
    <row r="30" spans="1:8" ht="17.45" customHeight="1">
      <c r="A30" s="943"/>
      <c r="B30" s="951" t="s">
        <v>48</v>
      </c>
      <c r="C30" s="366" t="str">
        <f>'Calculator -1 tier'!C30</f>
        <v>Monthly Compute Point Consumption for BDR/Ultimate</v>
      </c>
      <c r="D30" s="643" t="str">
        <f>'Calculator -1 tier'!D30</f>
        <v/>
      </c>
      <c r="E30" s="432">
        <f ca="1">IFERROR(IF(D30&gt;0,SUMIFS(INDIRECT("'Pricelist "&amp;'Solution-based'!$B$3&amp;"'!$"&amp;CHAR(70+$A$2)&amp;"$3:$"&amp;CHAR(70+$A$2)&amp;"$130"),INDIRECT("'Pricelist "&amp;'Solution-based'!$B$3&amp;"'!$O$3:$O$130"),'Calculator +1 tier'!$C30),""),"Pricelist not found")</f>
        <v>5.5800000000000002E-2</v>
      </c>
      <c r="F30" s="436" t="str">
        <f t="shared" ca="1" si="0"/>
        <v/>
      </c>
      <c r="H30" s="396"/>
    </row>
    <row r="31" spans="1:8" ht="17.45" customHeight="1">
      <c r="A31" s="944"/>
      <c r="B31" s="952"/>
      <c r="C31" s="157" t="str">
        <f>'Calculator -1 tier'!C31</f>
        <v>Public IPs for BDR/Ultimate</v>
      </c>
      <c r="D31" s="158">
        <f>'Calculator -1 tier'!D31</f>
        <v>0</v>
      </c>
      <c r="E31" s="437" t="str">
        <f ca="1">IFERROR(IF(D31&gt;0,SUMIFS(INDIRECT("'Pricelist "&amp;'Solution-based'!$B$3&amp;"'!$"&amp;CHAR(70+$A$2)&amp;"$3:$"&amp;CHAR(70+$A$2)&amp;"$130"),INDIRECT("'Pricelist "&amp;'Solution-based'!$B$3&amp;"'!$O$3:$O$130"),'Calculator +1 tier'!$C31),""),"Pricelist not found")</f>
        <v/>
      </c>
      <c r="F31" s="433" t="str">
        <f t="shared" ca="1" si="0"/>
        <v/>
      </c>
      <c r="H31" s="396"/>
    </row>
    <row r="32" spans="1:8" ht="17.45" customHeight="1">
      <c r="A32" s="941" t="s">
        <v>61</v>
      </c>
      <c r="B32" s="362" t="s">
        <v>62</v>
      </c>
      <c r="C32" s="368" t="str">
        <f>'Calculator -1 tier'!C32</f>
        <v># Cyber Employee Agents</v>
      </c>
      <c r="D32" s="90">
        <f>'Calculator -1 tier'!D32</f>
        <v>0</v>
      </c>
      <c r="E32" s="434" t="str">
        <f ca="1">IF(AND(D32&gt;0,$D$3="G2"),"Not available for G2",IFERROR(IF(D32&gt;0,SUMIFS(INDIRECT("'Pricelist "&amp;'Solution-based'!$B$3&amp;"'!$"&amp;CHAR(70+$A$2)&amp;"$3:$"&amp;CHAR(70+$A$2)&amp;"$130"),INDIRECT("'Pricelist "&amp;'Solution-based'!$B$3&amp;"'!$O$3:$O$130"),'Calculator +1 tier'!$C32),""),"Pricelist not found"))</f>
        <v/>
      </c>
      <c r="F32" s="435" t="str">
        <f t="shared" ref="F32:F40" ca="1" si="3">IFERROR(D32*E32,"")</f>
        <v/>
      </c>
      <c r="H32" s="396"/>
    </row>
    <row r="33" spans="1:8" ht="17.45" customHeight="1">
      <c r="A33" s="941"/>
      <c r="B33" s="83"/>
      <c r="C33" s="365" t="str">
        <f>'Calculator -1 tier'!C33</f>
        <v># Cyber Employee Usage Units</v>
      </c>
      <c r="D33" s="85">
        <f>'Calculator -1 tier'!D33</f>
        <v>0</v>
      </c>
      <c r="E33" s="432" t="str">
        <f ca="1">IF(AND(D33&gt;0,$D$3="G2"),"Not available for G2",IFERROR(IF(D33&gt;0,SUMIFS(INDIRECT("'Pricelist "&amp;'Solution-based'!$B$3&amp;"'!$"&amp;CHAR(70+$A$2)&amp;"$3:$"&amp;CHAR(70+$A$2)&amp;"$130"),INDIRECT("'Pricelist "&amp;'Solution-based'!$B$3&amp;"'!$O$3:$O$130"),'Calculator +1 tier'!$C33),""),"Pricelist not found"))</f>
        <v/>
      </c>
      <c r="F33" s="436" t="str">
        <f t="shared" ca="1" si="3"/>
        <v/>
      </c>
      <c r="H33" s="396"/>
    </row>
    <row r="34" spans="1:8" ht="17.45" customHeight="1">
      <c r="A34" s="941" t="s">
        <v>52</v>
      </c>
      <c r="B34" s="471" t="s">
        <v>53</v>
      </c>
      <c r="C34" s="472" t="str">
        <f>'Calculator -1 tier'!C34</f>
        <v># Physical Cores, Standard Support Included</v>
      </c>
      <c r="D34" s="483">
        <f>'Calculator -1 tier'!D34</f>
        <v>0</v>
      </c>
      <c r="E34" s="484" t="str">
        <f ca="1">IFERROR(IF(D34&gt;0,SUMIFS(INDIRECT("'Pricelist "&amp;'Solution-based'!$B$3&amp;"'!$"&amp;CHAR(70+$A$2)&amp;"$3:$"&amp;CHAR(70+$A$2)&amp;"$130"),INDIRECT("'Pricelist "&amp;'Solution-based'!$B$3&amp;"'!$O$3:$O$130"),'Calculator +1 tier'!$C34),""),"Pricelist not found")</f>
        <v/>
      </c>
      <c r="F34" s="485" t="str">
        <f t="shared" ca="1" si="3"/>
        <v/>
      </c>
      <c r="H34" s="396"/>
    </row>
    <row r="35" spans="1:8" ht="17.45" customHeight="1">
      <c r="A35" s="941"/>
      <c r="B35" s="929" t="s">
        <v>55</v>
      </c>
      <c r="C35" s="89" t="str">
        <f>'Calculator -1 tier'!C35</f>
        <v># Used Standard vCPUs</v>
      </c>
      <c r="D35" s="90">
        <f>'Calculator -1 tier'!D35</f>
        <v>0</v>
      </c>
      <c r="E35" s="434" t="str">
        <f ca="1">IFERROR(IF(D35&gt;0,SUMIFS(INDIRECT("'Pricelist "&amp;'Solution-based'!$B$3&amp;"'!$"&amp;CHAR(70+$A$2)&amp;"$3:$"&amp;CHAR(70+$A$2)&amp;"$130"),INDIRECT("'Pricelist "&amp;'Solution-based'!$B$3&amp;"'!$O$3:$O$130"),'Calculator +1 tier'!$C35),""),"Pricelist not found")</f>
        <v/>
      </c>
      <c r="F35" s="435" t="str">
        <f t="shared" ca="1" si="3"/>
        <v/>
      </c>
      <c r="H35" s="396"/>
    </row>
    <row r="36" spans="1:8" ht="17.45" customHeight="1">
      <c r="A36" s="941"/>
      <c r="B36" s="930"/>
      <c r="C36" s="91" t="str">
        <f>'Calculator -1 tier'!C36</f>
        <v># GB of used Standard RAM</v>
      </c>
      <c r="D36" s="85">
        <f>'Calculator -1 tier'!D36</f>
        <v>0</v>
      </c>
      <c r="E36" s="445" t="str">
        <f ca="1">IFERROR(IF(D36&gt;0,SUMIFS(INDIRECT("'Pricelist "&amp;'Solution-based'!$B$3&amp;"'!$"&amp;CHAR(70+$A$2)&amp;"$3:$"&amp;CHAR(70+$A$2)&amp;"$130"),INDIRECT("'Pricelist "&amp;'Solution-based'!$B$3&amp;"'!$O$3:$O$130"),'Calculator +1 tier'!$C36),""),"Pricelist not found")</f>
        <v/>
      </c>
      <c r="F36" s="436" t="str">
        <f t="shared" ca="1" si="3"/>
        <v/>
      </c>
      <c r="H36" s="396"/>
    </row>
    <row r="37" spans="1:8" ht="17.45" customHeight="1">
      <c r="A37" s="941"/>
      <c r="B37" s="930"/>
      <c r="C37" s="91" t="str">
        <f>'Calculator -1 tier'!C37</f>
        <v>Cyber Frame Cloud Block Storage</v>
      </c>
      <c r="D37" s="85">
        <f>'Calculator -1 tier'!D37</f>
        <v>0</v>
      </c>
      <c r="E37" s="445" t="str">
        <f ca="1">IFERROR(IF(D37&gt;0,SUMIFS(INDIRECT("'Pricelist "&amp;'Solution-based'!$B$3&amp;"'!$"&amp;CHAR(70+$A$2)&amp;"$3:$"&amp;CHAR(70+$A$2)&amp;"$130"),INDIRECT("'Pricelist "&amp;'Solution-based'!$B$3&amp;"'!$O$3:$O$130"),'Calculator +1 tier'!$C37),""),"Pricelist not found")</f>
        <v/>
      </c>
      <c r="F37" s="436" t="str">
        <f t="shared" ca="1" si="3"/>
        <v/>
      </c>
      <c r="H37" s="396"/>
    </row>
    <row r="38" spans="1:8" ht="17.45" customHeight="1">
      <c r="A38" s="941"/>
      <c r="B38" s="930"/>
      <c r="C38" s="91" t="e">
        <f>'Calculator -1 tier'!C38</f>
        <v>#REF!</v>
      </c>
      <c r="D38" s="85" t="e">
        <f>'Calculator -1 tier'!D38</f>
        <v>#REF!</v>
      </c>
      <c r="E38" s="445" t="str">
        <f ca="1">IFERROR(IF(D38&gt;0,SUMIFS(INDIRECT("'Pricelist "&amp;'Solution-based'!$B$3&amp;"'!$"&amp;CHAR(70+$A$2)&amp;"$3:$"&amp;CHAR(70+$A$2)&amp;"$130"),INDIRECT("'Pricelist "&amp;'Solution-based'!$B$3&amp;"'!$O$3:$O$130"),'Calculator +1 tier'!$C38),""),"Pricelist not found")</f>
        <v>Pricelist not found</v>
      </c>
      <c r="F38" s="436" t="str">
        <f t="shared" ref="F38" ca="1" si="4">IFERROR(D38*E38,"")</f>
        <v/>
      </c>
      <c r="H38" s="396"/>
    </row>
    <row r="39" spans="1:8" ht="17.45" customHeight="1">
      <c r="A39" s="941"/>
      <c r="B39" s="930"/>
      <c r="C39" s="91" t="str">
        <f>'Calculator -1 tier'!C39</f>
        <v># Public IPs for Cyber Frame Cloud</v>
      </c>
      <c r="D39" s="85">
        <f>'Calculator -1 tier'!D39</f>
        <v>0</v>
      </c>
      <c r="E39" s="445" t="str">
        <f ca="1">IFERROR(IF(D39&gt;0,SUMIFS(INDIRECT("'Pricelist "&amp;'Solution-based'!$B$3&amp;"'!$"&amp;CHAR(70+$A$2)&amp;"$3:$"&amp;CHAR(70+$A$2)&amp;"$130"),INDIRECT("'Pricelist "&amp;'Solution-based'!$B$3&amp;"'!$O$3:$O$130"),'Calculator +1 tier'!$C39),""),"Pricelist not found")</f>
        <v/>
      </c>
      <c r="F39" s="436" t="str">
        <f t="shared" ca="1" si="3"/>
        <v/>
      </c>
      <c r="H39" s="396"/>
    </row>
    <row r="40" spans="1:8" ht="17.45" customHeight="1">
      <c r="A40" s="941"/>
      <c r="B40" s="931"/>
      <c r="C40" s="160" t="str">
        <f>'Calculator -1 tier'!C40</f>
        <v># Windows Licenses (per licensed vCPU)</v>
      </c>
      <c r="D40" s="158">
        <f>'Calculator -1 tier'!D40</f>
        <v>0</v>
      </c>
      <c r="E40" s="437" t="str">
        <f ca="1">IFERROR(IF(D40&gt;0,SUMIFS(INDIRECT("'Pricelist "&amp;'Solution-based'!$B$3&amp;"'!$"&amp;CHAR(70+$A$2)&amp;"$3:$"&amp;CHAR(70+$A$2)&amp;"$130"),INDIRECT("'Pricelist "&amp;'Solution-based'!$B$3&amp;"'!$O$3:$O$130"),'Calculator +1 tier'!$C40),""),"Pricelist not found")</f>
        <v/>
      </c>
      <c r="F40" s="433" t="str">
        <f t="shared" ca="1" si="3"/>
        <v/>
      </c>
      <c r="H40" s="396"/>
    </row>
    <row r="41" spans="1:8" ht="17.45" customHeight="1">
      <c r="A41" s="159"/>
      <c r="B41" s="922" t="s">
        <v>400</v>
      </c>
      <c r="C41" s="365" t="str">
        <f>'Calculator -1 tier'!C41</f>
        <v># of Cyber Files Users</v>
      </c>
      <c r="D41" s="85">
        <f>'Calculator -1 tier'!D41</f>
        <v>0</v>
      </c>
      <c r="E41" s="432" t="str">
        <f ca="1">IFERROR(IF(D41&gt;0,SUMIFS(INDIRECT("'Pricelist "&amp;'Solution-based'!$B$3&amp;"'!$"&amp;CHAR(70+$A$2)&amp;"$3:$"&amp;CHAR(70+$A$2)&amp;"$130"),INDIRECT("'Pricelist "&amp;'Solution-based'!$B$3&amp;"'!$O$3:$O$130"),'Calculator +1 tier'!$C41),""),"Pricelist not found")</f>
        <v/>
      </c>
      <c r="F41" s="436" t="str">
        <f t="shared" ca="1" si="0"/>
        <v/>
      </c>
      <c r="H41" s="396"/>
    </row>
    <row r="42" spans="1:8" ht="17.45" customHeight="1">
      <c r="A42" s="159"/>
      <c r="B42" s="922"/>
      <c r="C42" s="365" t="str">
        <f>'Calculator -1 tier'!C42</f>
        <v>Cyber Files Cloud Acronis Hosted Storage (for per User Model)</v>
      </c>
      <c r="D42" s="85">
        <f>'Calculator -1 tier'!D42</f>
        <v>0</v>
      </c>
      <c r="E42" s="432" t="str">
        <f ca="1">IFERROR(IF(D42&gt;0,SUMIFS(INDIRECT("'Pricelist "&amp;'Solution-based'!$B$3&amp;"'!$"&amp;CHAR(70+$A$2)&amp;"$3:$"&amp;CHAR(70+$A$2)&amp;"$130"),INDIRECT("'Pricelist "&amp;'Solution-based'!$B$3&amp;"'!$O$3:$O$130"),'Calculator +1 tier'!$C42,INDIRECT("'Pricelist "&amp;'Solution-based'!$B$3&amp;"'!$E$3:$E$130"),$D$3),""),"Pricelist not found")</f>
        <v/>
      </c>
      <c r="F42" s="436" t="str">
        <f t="shared" ca="1" si="0"/>
        <v/>
      </c>
      <c r="H42" s="396"/>
    </row>
    <row r="43" spans="1:8" ht="17.45" customHeight="1">
      <c r="A43" s="159"/>
      <c r="B43" s="922"/>
      <c r="C43" s="365" t="str">
        <f>'Calculator -1 tier'!C43</f>
        <v>Cyber Files Cloud Acronis Hosted Storage (for per GB Model)</v>
      </c>
      <c r="D43" s="85">
        <f>'Calculator -1 tier'!D43</f>
        <v>0</v>
      </c>
      <c r="E43" s="432" t="str">
        <f ca="1">IFERROR(IF(D43&gt;0,SUMIFS(INDIRECT("'Pricelist "&amp;'Solution-based'!$B$3&amp;"'!$"&amp;CHAR(70+$A$2)&amp;"$3:$"&amp;CHAR(70+$A$2)&amp;"$130"),INDIRECT("'Pricelist "&amp;'Solution-based'!$B$3&amp;"'!$O$3:$O$130"),'Calculator +1 tier'!$C43,INDIRECT("'Pricelist "&amp;'Solution-based'!$B$3&amp;"'!$E$3:$E$130"),$D$3),""),"Pricelist not found")</f>
        <v/>
      </c>
      <c r="F43" s="436" t="str">
        <f t="shared" ca="1" si="0"/>
        <v/>
      </c>
      <c r="H43" s="396"/>
    </row>
    <row r="44" spans="1:8" ht="17.45" customHeight="1">
      <c r="A44" s="159"/>
      <c r="B44" s="922"/>
      <c r="C44" s="365" t="str">
        <f>'Calculator -1 tier'!C44</f>
        <v>Cyber Files Cloud Service Provider Hosted Storage</v>
      </c>
      <c r="D44" s="85">
        <f>'Calculator -1 tier'!D44</f>
        <v>0</v>
      </c>
      <c r="E44" s="432" t="str">
        <f ca="1">IFERROR(IF(D44&gt;0,SUMIFS(INDIRECT("'Pricelist "&amp;'Solution-based'!$B$3&amp;"'!$"&amp;CHAR(70+$A$2)&amp;"$3:$"&amp;CHAR(70+$A$2)&amp;"$130"),INDIRECT("'Pricelist "&amp;'Solution-based'!$B$3&amp;"'!$O$3:$O$130"),'Calculator +1 tier'!$C44),""),"Pricelist not found")</f>
        <v/>
      </c>
      <c r="F44" s="436" t="str">
        <f t="shared" ca="1" si="0"/>
        <v/>
      </c>
      <c r="H44" s="396"/>
    </row>
    <row r="45" spans="1:8" ht="17.45" customHeight="1">
      <c r="A45" s="159"/>
      <c r="B45" s="82" t="s">
        <v>568</v>
      </c>
      <c r="C45" s="157" t="str">
        <f>'Calculator -1 tier'!C45</f>
        <v>Storage Required for S3/iSCSI/NFS/Compute (Per GB)</v>
      </c>
      <c r="D45" s="158">
        <f>'Calculator -1 tier'!D45</f>
        <v>0</v>
      </c>
      <c r="E45" s="437" t="str">
        <f ca="1">IFERROR(IF(D45&gt;0,SUMIFS(INDIRECT("'Pricelist "&amp;'Solution-based'!$B$3&amp;"'!$"&amp;CHAR(70+$A$2)&amp;"$3:$"&amp;CHAR(70+$A$2)&amp;"$130"),INDIRECT("'Pricelist "&amp;'Solution-based'!$B$3&amp;"'!$O$3:$O$130"),'Calculator +1 tier'!$C45),""),"Pricelist not found")</f>
        <v/>
      </c>
      <c r="F45" s="433" t="str">
        <f t="shared" ca="1" si="0"/>
        <v/>
      </c>
      <c r="H45" s="396"/>
    </row>
    <row r="46" spans="1:8" ht="14.45" customHeight="1">
      <c r="A46" s="954" t="s">
        <v>569</v>
      </c>
      <c r="B46" s="911" t="s">
        <v>143</v>
      </c>
      <c r="C46" s="91" t="str">
        <f>'Calculator -1 tier'!C46</f>
        <v># Physical Servers</v>
      </c>
      <c r="D46" s="85">
        <f>'Calculator -1 tier'!D46</f>
        <v>0</v>
      </c>
      <c r="E46" s="438" t="str">
        <f ca="1">IFERROR(IF(D46&gt;0,SUMIFS(INDIRECT("'Pricelist "&amp;'Solution-based'!$B$3&amp;"'!$"&amp;CHAR(70+$A$2)&amp;"$3:$"&amp;CHAR(70+$A$2)&amp;"$130"),INDIRECT("'Pricelist "&amp;'Solution-based'!$B$3&amp;"'!$O$3:$O$130"),'Calculator +1 tier'!$C46),""),"Pricelist not found")</f>
        <v/>
      </c>
      <c r="F46" s="435" t="str">
        <f t="shared" ca="1" si="0"/>
        <v/>
      </c>
      <c r="H46" s="396"/>
    </row>
    <row r="47" spans="1:8" ht="14.45" customHeight="1">
      <c r="A47" s="905"/>
      <c r="B47" s="911"/>
      <c r="C47" s="36" t="str">
        <f>'Calculator -1 tier'!C47</f>
        <v># Network Attached Storage</v>
      </c>
      <c r="D47" s="86">
        <f>'Calculator -1 tier'!D47</f>
        <v>0</v>
      </c>
      <c r="E47" s="439" t="str">
        <f ca="1">IFERROR(IF(D47&gt;0,SUMIFS(INDIRECT("'Pricelist "&amp;'Solution-based'!$B$3&amp;"'!$"&amp;CHAR(70+$A$2)&amp;"$3:$"&amp;CHAR(70+$A$2)&amp;"$130"),INDIRECT("'Pricelist "&amp;'Solution-based'!$B$3&amp;"'!$O$3:$O$130"),'Calculator +1 tier'!$C47),""),"Pricelist not found")</f>
        <v/>
      </c>
      <c r="F47" s="436" t="str">
        <f t="shared" ref="F47:F62" ca="1" si="5">IFERROR(D47*E47,"")</f>
        <v/>
      </c>
      <c r="H47" s="396"/>
    </row>
    <row r="48" spans="1:8" ht="14.45" customHeight="1">
      <c r="A48" s="905"/>
      <c r="B48" s="911"/>
      <c r="C48" s="91" t="str">
        <f>'Calculator -1 tier'!C48</f>
        <v># Virtual Machines</v>
      </c>
      <c r="D48" s="85">
        <f>'Calculator -1 tier'!D48</f>
        <v>0</v>
      </c>
      <c r="E48" s="439" t="str">
        <f ca="1">IFERROR(IF(D48&gt;0,SUMIFS(INDIRECT("'Pricelist "&amp;'Solution-based'!$B$3&amp;"'!$"&amp;CHAR(70+$A$2)&amp;"$3:$"&amp;CHAR(70+$A$2)&amp;"$130"),INDIRECT("'Pricelist "&amp;'Solution-based'!$B$3&amp;"'!$O$3:$O$130"),'Calculator +1 tier'!$C48),""),"Pricelist not found")</f>
        <v/>
      </c>
      <c r="F48" s="436" t="str">
        <f t="shared" ca="1" si="5"/>
        <v/>
      </c>
      <c r="H48" s="396"/>
    </row>
    <row r="49" spans="1:8" ht="14.45" customHeight="1">
      <c r="A49" s="905"/>
      <c r="B49" s="911"/>
      <c r="C49" s="91" t="str">
        <f>'Calculator -1 tier'!C49</f>
        <v># Workstations</v>
      </c>
      <c r="D49" s="85">
        <f>'Calculator -1 tier'!D49</f>
        <v>0</v>
      </c>
      <c r="E49" s="439" t="str">
        <f ca="1">IFERROR(IF(D49&gt;0,SUMIFS(INDIRECT("'Pricelist "&amp;'Solution-based'!$B$3&amp;"'!$"&amp;CHAR(70+$A$2)&amp;"$3:$"&amp;CHAR(70+$A$2)&amp;"$130"),INDIRECT("'Pricelist "&amp;'Solution-based'!$B$3&amp;"'!$O$3:$O$130"),'Calculator +1 tier'!$C49),""),"Pricelist not found")</f>
        <v/>
      </c>
      <c r="F49" s="436" t="str">
        <f t="shared" ca="1" si="5"/>
        <v/>
      </c>
      <c r="H49" s="396"/>
    </row>
    <row r="50" spans="1:8" ht="14.45" customHeight="1">
      <c r="A50" s="905"/>
      <c r="B50" s="911"/>
      <c r="C50" s="36" t="str">
        <f>'Calculator -1 tier'!C50</f>
        <v># Hosting Servers</v>
      </c>
      <c r="D50" s="86">
        <f>'Calculator -1 tier'!D50</f>
        <v>0</v>
      </c>
      <c r="E50" s="439" t="str">
        <f ca="1">IFERROR(IF(D50&gt;0,SUMIFS(INDIRECT("'Pricelist "&amp;'Solution-based'!$B$3&amp;"'!$"&amp;CHAR(70+$A$2)&amp;"$3:$"&amp;CHAR(70+$A$2)&amp;"$130"),INDIRECT("'Pricelist "&amp;'Solution-based'!$B$3&amp;"'!$O$3:$O$130"),'Calculator +1 tier'!$C50),""),"Pricelist not found")</f>
        <v/>
      </c>
      <c r="F50" s="436" t="str">
        <f t="shared" ca="1" si="5"/>
        <v/>
      </c>
      <c r="H50" s="396"/>
    </row>
    <row r="51" spans="1:8" ht="14.45" customHeight="1">
      <c r="A51" s="905"/>
      <c r="B51" s="911"/>
      <c r="C51" s="91" t="str">
        <f>'Calculator -1 tier'!C51</f>
        <v># Microsoft 365 Seats (unlimited Acronis Hosted Cloud Storage included*)</v>
      </c>
      <c r="D51" s="85">
        <f>'Calculator -1 tier'!D51</f>
        <v>0</v>
      </c>
      <c r="E51" s="439" t="str">
        <f ca="1">IFERROR(IF(D51&gt;0,SUMIFS(INDIRECT("'Pricelist "&amp;'Solution-based'!$B$3&amp;"'!$"&amp;CHAR(70+$A$2)&amp;"$3:$"&amp;CHAR(70+$A$2)&amp;"$130"),INDIRECT("'Pricelist "&amp;'Solution-based'!$B$3&amp;"'!$O$3:$O$130"),'Calculator +1 tier'!$C51,INDIRECT("'Pricelist "&amp;'Solution-based'!$B$3&amp;"'!$E$3:$E$130"),$D$3),""),"Pricelist not found")</f>
        <v/>
      </c>
      <c r="F51" s="436" t="str">
        <f t="shared" ca="1" si="5"/>
        <v/>
      </c>
      <c r="H51" s="396"/>
    </row>
    <row r="52" spans="1:8" ht="14.45" customHeight="1">
      <c r="A52" s="905"/>
      <c r="B52" s="911"/>
      <c r="C52" s="92" t="str">
        <f>'Calculator -1 tier'!C52</f>
        <v># Microsoft 365 Seats (for SP/Customer/Azure/Google Hosted Storage)</v>
      </c>
      <c r="D52" s="86">
        <f>'Calculator -1 tier'!D52</f>
        <v>0</v>
      </c>
      <c r="E52" s="439" t="str">
        <f ca="1">IFERROR(IF(D52&gt;0,SUMIFS(INDIRECT("'Pricelist "&amp;'Solution-based'!$B$3&amp;"'!$"&amp;CHAR(70+$A$2)&amp;"$3:$"&amp;CHAR(70+$A$2)&amp;"$130"),INDIRECT("'Pricelist "&amp;'Solution-based'!$B$3&amp;"'!$O$3:$O$130"),'Calculator +1 tier'!$C52),""),"Pricelist not found")</f>
        <v/>
      </c>
      <c r="F52" s="436" t="str">
        <f t="shared" ca="1" si="5"/>
        <v/>
      </c>
      <c r="H52" s="396"/>
    </row>
    <row r="53" spans="1:8" ht="14.45" customHeight="1">
      <c r="A53" s="905"/>
      <c r="B53" s="911"/>
      <c r="C53" s="92" t="str">
        <f>'Service-based'!C29</f>
        <v># Entra ID Seats (unlimited Acronis Hosted Cloud Storage included*)</v>
      </c>
      <c r="D53" s="86">
        <f>'Service-based'!E29</f>
        <v>0</v>
      </c>
      <c r="E53" s="465">
        <v>0</v>
      </c>
      <c r="F53" s="436">
        <f t="shared" si="5"/>
        <v>0</v>
      </c>
      <c r="H53" s="396"/>
    </row>
    <row r="54" spans="1:8" ht="14.45" customHeight="1">
      <c r="A54" s="905"/>
      <c r="B54" s="911"/>
      <c r="C54" s="92" t="str">
        <f>'Service-based'!C30</f>
        <v># Entra ID Seats (for SP/Azure/Google Hosted Storage)</v>
      </c>
      <c r="D54" s="86">
        <f>'Service-based'!E30</f>
        <v>0</v>
      </c>
      <c r="E54" s="465">
        <v>0</v>
      </c>
      <c r="F54" s="436">
        <f t="shared" si="5"/>
        <v>0</v>
      </c>
      <c r="H54" s="396"/>
    </row>
    <row r="55" spans="1:8" ht="14.45" customHeight="1">
      <c r="A55" s="905"/>
      <c r="B55" s="911"/>
      <c r="C55" s="91" t="str">
        <f>'Calculator -1 tier'!C55</f>
        <v># Google Workspace Seats (unlimited Acronis Hosted Cloud Storage included*)</v>
      </c>
      <c r="D55" s="85">
        <f>'Calculator -1 tier'!D55</f>
        <v>0</v>
      </c>
      <c r="E55" s="439" t="str">
        <f ca="1">IFERROR(IF(D55&gt;0,SUMIFS(INDIRECT("'Pricelist "&amp;'Solution-based'!$B$3&amp;"'!$"&amp;CHAR(70+$A$2)&amp;"$3:$"&amp;CHAR(70+$A$2)&amp;"$130"),INDIRECT("'Pricelist "&amp;'Solution-based'!$B$3&amp;"'!$O$3:$O$130"),'Calculator +1 tier'!$C55,INDIRECT("'Pricelist "&amp;'Solution-based'!$B$3&amp;"'!$E$3:$E$130"),$D$3),""),"Pricelist not found")</f>
        <v/>
      </c>
      <c r="F55" s="436" t="str">
        <f t="shared" ca="1" si="5"/>
        <v/>
      </c>
      <c r="H55" s="396"/>
    </row>
    <row r="56" spans="1:8" ht="14.45" customHeight="1">
      <c r="A56" s="905"/>
      <c r="B56" s="911"/>
      <c r="C56" s="91" t="str">
        <f>'Calculator -1 tier'!C56</f>
        <v># Google Workspace Seats (for SP/Azure/Google Hosted Storage)</v>
      </c>
      <c r="D56" s="85">
        <f>'Calculator -1 tier'!D56</f>
        <v>0</v>
      </c>
      <c r="E56" s="439" t="str">
        <f ca="1">IFERROR(IF(D56&gt;0,SUMIFS(INDIRECT("'Pricelist "&amp;'Solution-based'!$B$3&amp;"'!$"&amp;CHAR(70+$A$2)&amp;"$3:$"&amp;CHAR(70+$A$2)&amp;"$130"),INDIRECT("'Pricelist "&amp;'Solution-based'!$B$3&amp;"'!$O$3:$O$130"),'Calculator +1 tier'!$C56),""),"Pricelist not found")</f>
        <v/>
      </c>
      <c r="F56" s="436" t="str">
        <f t="shared" ca="1" si="5"/>
        <v/>
      </c>
      <c r="H56" s="396"/>
    </row>
    <row r="57" spans="1:8" ht="14.45" customHeight="1">
      <c r="A57" s="905"/>
      <c r="B57" s="911"/>
      <c r="C57" s="36" t="str">
        <f>'Calculator -1 tier'!C57</f>
        <v># Mobile Devices</v>
      </c>
      <c r="D57" s="86">
        <f>'Calculator -1 tier'!D57</f>
        <v>0</v>
      </c>
      <c r="E57" s="439" t="str">
        <f ca="1">IFERROR(IF(D57&gt;0,SUMIFS(INDIRECT("'Pricelist "&amp;'Solution-based'!$B$3&amp;"'!$"&amp;CHAR(70+$A$2)&amp;"$3:$"&amp;CHAR(70+$A$2)&amp;"$130"),INDIRECT("'Pricelist "&amp;'Solution-based'!$B$3&amp;"'!$O$3:$O$130"),'Calculator +1 tier'!$C57),""),"Pricelist not found")</f>
        <v/>
      </c>
      <c r="F57" s="436" t="str">
        <f t="shared" ca="1" si="5"/>
        <v/>
      </c>
      <c r="H57" s="396"/>
    </row>
    <row r="58" spans="1:8" ht="14.45" customHeight="1">
      <c r="A58" s="905"/>
      <c r="B58" s="911"/>
      <c r="C58" s="36" t="str">
        <f>'Calculator -1 tier'!C58</f>
        <v>Acronis Cloud Storage at Acronis Datacenter (for Per Workload model)</v>
      </c>
      <c r="D58" s="87">
        <f>'Calculator -1 tier'!D58</f>
        <v>0</v>
      </c>
      <c r="E58" s="439" t="str">
        <f ca="1">IFERROR(IF(D58&gt;0,SUMIFS(INDIRECT("'Pricelist "&amp;'Solution-based'!$B$3&amp;"'!$"&amp;CHAR(70+$A$2)&amp;"$3:$"&amp;CHAR(70+$A$2)&amp;"$130"),INDIRECT("'Pricelist "&amp;'Solution-based'!$B$3&amp;"'!$O$3:$O$130"),'Calculator +1 tier'!$C58,INDIRECT("'Pricelist "&amp;'Solution-based'!$B$3&amp;"'!$E$3:$E$130"),$D$3),""),"Pricelist not found")</f>
        <v/>
      </c>
      <c r="F58" s="436" t="str">
        <f t="shared" ca="1" si="5"/>
        <v/>
      </c>
      <c r="H58" s="396"/>
    </row>
    <row r="59" spans="1:8" ht="15" customHeight="1">
      <c r="A59" s="905"/>
      <c r="B59" s="911"/>
      <c r="C59" s="93" t="str">
        <f>'Calculator -1 tier'!C59</f>
        <v>Acronis Cloud Storage at Azure/Google datacenters (for Per Workload model)</v>
      </c>
      <c r="D59" s="88">
        <f>'Calculator -1 tier'!D59</f>
        <v>0</v>
      </c>
      <c r="E59" s="439" t="str">
        <f ca="1">IFERROR(IF(D59&gt;0,SUMIFS(INDIRECT("'Pricelist "&amp;'Solution-based'!$B$3&amp;"'!$"&amp;CHAR(70+$A$2)&amp;"$3:$"&amp;CHAR(70+$A$2)&amp;"$130"),INDIRECT("'Pricelist "&amp;'Solution-based'!$B$3&amp;"'!$O$3:$O$130"),'Calculator +1 tier'!$C59),""),"Pricelist not found")</f>
        <v/>
      </c>
      <c r="F59" s="436" t="str">
        <f t="shared" ca="1" si="5"/>
        <v/>
      </c>
      <c r="H59" s="396"/>
    </row>
    <row r="60" spans="1:8" ht="15" customHeight="1">
      <c r="A60" s="905"/>
      <c r="B60" s="81"/>
      <c r="C60" s="36" t="str">
        <f>'Calculator -1 tier'!C60</f>
        <v># Microsoft 365 Archiving Seats (with unlimited Acronis Hosted Cloud storage*)</v>
      </c>
      <c r="D60" s="86">
        <f>'Calculator -1 tier'!D60</f>
        <v>0</v>
      </c>
      <c r="E60" s="439" t="str">
        <f ca="1">IFERROR(IF(D60&gt;0,SUMIFS(INDIRECT("'Pricelist "&amp;'Solution-based'!$B$3&amp;"'!$"&amp;CHAR(70+$A$2)&amp;"$3:$"&amp;CHAR(70+$A$2)&amp;"$130"),INDIRECT("'Pricelist "&amp;'Solution-based'!$B$3&amp;"'!$O$3:$O$130"),'Calculator +1 tier'!$C60,INDIRECT("'Pricelist "&amp;'Solution-based'!$B$3&amp;"'!$E$3:$E$130"),$D$3),""),"Pricelist not found")</f>
        <v/>
      </c>
      <c r="F60" s="436" t="str">
        <f t="shared" ca="1" si="5"/>
        <v/>
      </c>
      <c r="H60" s="396"/>
    </row>
    <row r="61" spans="1:8" ht="15" customHeight="1">
      <c r="A61" s="905"/>
      <c r="B61" s="81"/>
      <c r="C61" s="91" t="str">
        <f>'Calculator -1 tier'!C61</f>
        <v># Microsoft 365 Archiving Seats (for SP/Azure/Google Hosted storage)</v>
      </c>
      <c r="D61" s="85">
        <f>'Calculator -1 tier'!D61</f>
        <v>0</v>
      </c>
      <c r="E61" s="439" t="str">
        <f ca="1">IFERROR(IF(D61&gt;0,SUMIFS(INDIRECT("'Pricelist "&amp;'Solution-based'!$B$3&amp;"'!$"&amp;CHAR(70+$A$2)&amp;"$3:$"&amp;CHAR(70+$A$2)&amp;"$130"),INDIRECT("'Pricelist "&amp;'Solution-based'!$B$3&amp;"'!$O$3:$O$130"),'Calculator +1 tier'!$C61),""),"Pricelist not found")</f>
        <v/>
      </c>
      <c r="F61" s="436" t="str">
        <f t="shared" ca="1" si="5"/>
        <v/>
      </c>
      <c r="H61" s="396"/>
    </row>
    <row r="62" spans="1:8" ht="15" customHeight="1">
      <c r="A62" s="905"/>
      <c r="B62" s="37"/>
      <c r="C62" s="94" t="str">
        <f>'Calculator -1 tier'!C62</f>
        <v>Acronis Cloud Storage for Email Archiving at Azure/Google datacenters (for Per Workload model)</v>
      </c>
      <c r="D62" s="95">
        <f>'Calculator -1 tier'!D62</f>
        <v>0</v>
      </c>
      <c r="E62" s="439" t="str">
        <f ca="1">IFERROR(IF(D62&gt;0,SUMIFS(INDIRECT("'Pricelist "&amp;'Solution-based'!$B$3&amp;"'!$"&amp;CHAR(70+$A$2)&amp;"$3:$"&amp;CHAR(70+$A$2)&amp;"$130"),INDIRECT("'Pricelist "&amp;'Solution-based'!$B$3&amp;"'!$O$3:$O$130"),'Calculator +1 tier'!$C62),""),"Pricelist not found")</f>
        <v/>
      </c>
      <c r="F62" s="436" t="str">
        <f t="shared" ca="1" si="5"/>
        <v/>
      </c>
      <c r="H62" s="396"/>
    </row>
    <row r="63" spans="1:8" ht="19.5" customHeight="1">
      <c r="A63" s="905"/>
      <c r="B63" s="949" t="s">
        <v>570</v>
      </c>
      <c r="C63" s="933"/>
      <c r="D63" s="96"/>
      <c r="E63" s="440"/>
      <c r="F63" s="441"/>
      <c r="H63" s="396"/>
    </row>
    <row r="64" spans="1:8" ht="14.45" customHeight="1">
      <c r="A64" s="905"/>
      <c r="B64" s="945" t="s">
        <v>69</v>
      </c>
      <c r="C64" s="89" t="str">
        <f>'Calculator -1 tier'!C64</f>
        <v>Acronis Cloud Storage at Acronis Datacenter (for Per GB model)</v>
      </c>
      <c r="D64" s="379">
        <f>'Calculator -1 tier'!D64</f>
        <v>0</v>
      </c>
      <c r="E64" s="438" t="str">
        <f ca="1">IFERROR(IF(D64&gt;0,SUMIFS(INDIRECT("'Pricelist "&amp;'Solution-based'!$B$3&amp;"'!$"&amp;CHAR(70+$A$2)&amp;"$3:$"&amp;CHAR(70+$A$2)&amp;"$130"),INDIRECT("'Pricelist "&amp;'Solution-based'!$B$3&amp;"'!$O$3:$O$130"),'Calculator +1 tier'!$C64,INDIRECT("'Pricelist "&amp;'Solution-based'!$B$3&amp;"'!$E$3:$E$130"),$D$3),""),"Pricelist not found")</f>
        <v/>
      </c>
      <c r="F64" s="435" t="str">
        <f t="shared" ref="F64:F74" ca="1" si="6">IFERROR(D64*E64,"")</f>
        <v/>
      </c>
      <c r="H64" s="396"/>
    </row>
    <row r="65" spans="1:8" ht="14.45" customHeight="1">
      <c r="A65" s="905"/>
      <c r="B65" s="946"/>
      <c r="C65" s="36" t="str">
        <f>'Calculator -1 tier'!C65</f>
        <v>Acronis Cloud Storage at Azure/Google datacenters (for Per GB model)</v>
      </c>
      <c r="D65" s="22">
        <f>'Calculator -1 tier'!D65</f>
        <v>0</v>
      </c>
      <c r="E65" s="439" t="str">
        <f ca="1">IFERROR(IF(D65&gt;0,SUMIFS(INDIRECT("'Pricelist "&amp;'Solution-based'!$B$3&amp;"'!$"&amp;CHAR(70+$A$2)&amp;"$3:$"&amp;CHAR(70+$A$2)&amp;"$130"),INDIRECT("'Pricelist "&amp;'Solution-based'!$B$3&amp;"'!$O$3:$O$130"),'Calculator +1 tier'!$C65),""),"Pricelist not found")</f>
        <v/>
      </c>
      <c r="F65" s="436" t="str">
        <f t="shared" ca="1" si="6"/>
        <v/>
      </c>
      <c r="H65" s="396"/>
    </row>
    <row r="66" spans="1:8" ht="14.45" customHeight="1">
      <c r="A66" s="905"/>
      <c r="B66" s="946"/>
      <c r="C66" s="98" t="str">
        <f>'Calculator -1 tier'!C66</f>
        <v>Cloud - Service Provider Hosted Storage</v>
      </c>
      <c r="D66" s="20">
        <f>'Calculator -1 tier'!D66</f>
        <v>0</v>
      </c>
      <c r="E66" s="439" t="str">
        <f ca="1">IFERROR(IF(D66&gt;0,SUMIFS(INDIRECT("'Pricelist "&amp;'Solution-based'!$B$3&amp;"'!$"&amp;CHAR(70+$A$2)&amp;"$3:$"&amp;CHAR(70+$A$2)&amp;"$130"),INDIRECT("'Pricelist "&amp;'Solution-based'!$B$3&amp;"'!$O$3:$O$130"),'Calculator +1 tier'!$C66),""),"Pricelist not found")</f>
        <v/>
      </c>
      <c r="F66" s="436" t="str">
        <f t="shared" ca="1" si="6"/>
        <v/>
      </c>
      <c r="H66" s="396"/>
    </row>
    <row r="67" spans="1:8" ht="14.45" customHeight="1">
      <c r="A67" s="905"/>
      <c r="B67" s="946"/>
      <c r="C67" s="36" t="str">
        <f>'Calculator -1 tier'!C67</f>
        <v>Customer Storage</v>
      </c>
      <c r="D67" s="22">
        <f>'Calculator -1 tier'!D67</f>
        <v>0</v>
      </c>
      <c r="E67" s="439" t="str">
        <f ca="1">IFERROR(IF(D67&gt;0,SUMIFS(INDIRECT("'Pricelist "&amp;'Solution-based'!$B$3&amp;"'!$"&amp;CHAR(70+$A$2)&amp;"$3:$"&amp;CHAR(70+$A$2)&amp;"$130"),INDIRECT("'Pricelist "&amp;'Solution-based'!$B$3&amp;"'!$O$3:$O$130"),'Calculator +1 tier'!$C67),""),"Pricelist not found")</f>
        <v/>
      </c>
      <c r="F67" s="436" t="str">
        <f t="shared" ca="1" si="6"/>
        <v/>
      </c>
      <c r="H67" s="396"/>
    </row>
    <row r="68" spans="1:8" ht="14.45" customHeight="1">
      <c r="A68" s="905"/>
      <c r="B68" s="377"/>
      <c r="C68" s="98" t="str">
        <f>'Calculator -1 tier'!C68</f>
        <v>Acronis Cloud Storage for Email Archiving at Acronis Datacenter (for Per GB model)</v>
      </c>
      <c r="D68" s="20">
        <f>'Calculator -1 tier'!D68</f>
        <v>0</v>
      </c>
      <c r="E68" s="439" t="str">
        <f ca="1">IFERROR(IF(D68&gt;0,SUMIFS(INDIRECT("'Pricelist "&amp;'Solution-based'!$B$3&amp;"'!$"&amp;CHAR(70+$A$2)&amp;"$3:$"&amp;CHAR(70+$A$2)&amp;"$130"),INDIRECT("'Pricelist "&amp;'Solution-based'!$B$3&amp;"'!$O$3:$O$130"),'Calculator +1 tier'!$C68,INDIRECT("'Pricelist "&amp;'Solution-based'!$B$3&amp;"'!$E$3:$E$130"),$D$3),""),"Pricelist not found")</f>
        <v/>
      </c>
      <c r="F68" s="436" t="str">
        <f t="shared" ca="1" si="6"/>
        <v/>
      </c>
      <c r="H68" s="396"/>
    </row>
    <row r="69" spans="1:8" ht="14.45" customHeight="1">
      <c r="A69" s="905"/>
      <c r="B69" s="377"/>
      <c r="C69" s="36" t="str">
        <f>'Calculator -1 tier'!C69</f>
        <v>Email Archiving Cloud Storage - Service Provider Hosted</v>
      </c>
      <c r="D69" s="22">
        <f>'Calculator -1 tier'!D69</f>
        <v>0</v>
      </c>
      <c r="E69" s="439" t="str">
        <f ca="1">IFERROR(IF(D69&gt;0,SUMIFS(INDIRECT("'Pricelist "&amp;'Solution-based'!$B$3&amp;"'!$"&amp;CHAR(70+$A$2)&amp;"$3:$"&amp;CHAR(70+$A$2)&amp;"$130"),INDIRECT("'Pricelist "&amp;'Solution-based'!$B$3&amp;"'!$O$3:$O$130"),'Calculator +1 tier'!$C69),""),"Pricelist not found")</f>
        <v/>
      </c>
      <c r="F69" s="436" t="str">
        <f t="shared" ca="1" si="6"/>
        <v/>
      </c>
      <c r="H69" s="396"/>
    </row>
    <row r="70" spans="1:8" ht="15" customHeight="1">
      <c r="A70" s="905"/>
      <c r="B70" s="378"/>
      <c r="C70" s="98" t="str">
        <f>'Calculator -1 tier'!C70</f>
        <v>Acronis Cloud Storage for Email Archiving at Azure/Google datacenters (for Per GB model)</v>
      </c>
      <c r="D70" s="20">
        <f>'Calculator -1 tier'!D70</f>
        <v>0</v>
      </c>
      <c r="E70" s="439" t="str">
        <f ca="1">IFERROR(IF(D70&gt;0,SUMIFS(INDIRECT("'Pricelist "&amp;'Solution-based'!$B$3&amp;"'!$"&amp;CHAR(70+$A$2)&amp;"$3:$"&amp;CHAR(70+$A$2)&amp;"$130"),INDIRECT("'Pricelist "&amp;'Solution-based'!$B$3&amp;"'!$O$3:$O$130"),'Calculator +1 tier'!$C70),""),"Pricelist not found")</f>
        <v/>
      </c>
      <c r="F70" s="436" t="str">
        <f t="shared" ca="1" si="6"/>
        <v/>
      </c>
      <c r="H70" s="396"/>
    </row>
    <row r="71" spans="1:8" ht="15" customHeight="1">
      <c r="A71" s="905"/>
      <c r="B71" s="377" t="s">
        <v>571</v>
      </c>
      <c r="C71" s="98" t="str">
        <f>'Calculator -1 tier'!C71</f>
        <v>Microsoft 365 Backup Storage powered by Microsoft (per GB, for both per GB and per workload models)</v>
      </c>
      <c r="D71" s="20">
        <f>'Calculator -1 tier'!D71</f>
        <v>0</v>
      </c>
      <c r="E71" s="439" t="str">
        <f ca="1">IFERROR(IF(D71&gt;0,SUMIFS(INDIRECT("'Pricelist "&amp;'Solution-based'!$B$3&amp;"'!$"&amp;CHAR(70+$A$2)&amp;"$3:$"&amp;CHAR(70+$A$2)&amp;"$130"),INDIRECT("'Pricelist "&amp;'Solution-based'!$B$3&amp;"'!$O$3:$O$130"),'Calculator +1 tier'!$C71),""),"Pricelist not found")</f>
        <v/>
      </c>
      <c r="F71" s="436" t="str">
        <f t="shared" ca="1" si="6"/>
        <v/>
      </c>
      <c r="H71" s="396"/>
    </row>
    <row r="72" spans="1:8" ht="15" customHeight="1">
      <c r="A72" s="905"/>
      <c r="B72" s="945" t="s">
        <v>44</v>
      </c>
      <c r="C72" s="36" t="str">
        <f>'Calculator -1 tier'!C72</f>
        <v>Per GB/Workload model - Backup Geo-redundant - Acronis Hosted Storage</v>
      </c>
      <c r="D72" s="22">
        <f>'Calculator -1 tier'!D72</f>
        <v>0</v>
      </c>
      <c r="E72" s="439" t="str">
        <f ca="1">IF(AND(D72&gt;0,$D$3="G2"),"Not available for G2",IFERROR(IF(D72&gt;0,SUMIFS(INDIRECT("'Pricelist "&amp;'Solution-based'!$B$3&amp;"'!$"&amp;CHAR(70+$A$2)&amp;"$3:$"&amp;CHAR(70+$A$2)&amp;"$130"),INDIRECT("'Pricelist "&amp;'Solution-based'!$B$3&amp;"'!$O$3:$O$130"),'Calculator +1 tier'!$C72),""),"Pricelist not found"))</f>
        <v/>
      </c>
      <c r="F72" s="436" t="str">
        <f t="shared" ca="1" si="6"/>
        <v/>
      </c>
      <c r="H72" s="396"/>
    </row>
    <row r="73" spans="1:8" ht="15" customHeight="1">
      <c r="A73" s="905"/>
      <c r="B73" s="946"/>
      <c r="C73" s="381" t="str">
        <f>'Calculator -1 tier'!C73</f>
        <v>Per Workload model - # Geo-redundant Microsoft 365 seat (unlimited Acronis Hosted Cloud Storage included*)</v>
      </c>
      <c r="D73" s="19">
        <f>'Calculator -1 tier'!D73</f>
        <v>0</v>
      </c>
      <c r="E73" s="439" t="str">
        <f ca="1">IF(AND(D73&gt;0,$D$3="G2"),"Not available for G2",IFERROR(IF(D73&gt;0,SUMIFS(INDIRECT("'Pricelist "&amp;'Solution-based'!$B$3&amp;"'!$"&amp;CHAR(70+$A$2)&amp;"$3:$"&amp;CHAR(70+$A$2)&amp;"$130"),INDIRECT("'Pricelist "&amp;'Solution-based'!$B$3&amp;"'!$O$3:$O$130"),'Calculator +1 tier'!$C73),""),"Pricelist not found"))</f>
        <v/>
      </c>
      <c r="F73" s="436" t="str">
        <f t="shared" ca="1" si="6"/>
        <v/>
      </c>
      <c r="H73" s="396"/>
    </row>
    <row r="74" spans="1:8" ht="15" customHeight="1">
      <c r="A74" s="905"/>
      <c r="B74" s="947"/>
      <c r="C74" s="94" t="str">
        <f>'Calculator -1 tier'!C74</f>
        <v>Per Workload model - # Geo-redundant Google Workspace seat (unlimited Acronis Hosted Cloud Storage included*)</v>
      </c>
      <c r="D74" s="380">
        <f>'Calculator -1 tier'!D74</f>
        <v>0</v>
      </c>
      <c r="E74" s="442" t="str">
        <f ca="1">IF(AND(D74&gt;0,$D$3="G2"),"Not available for G2",IFERROR(IF(D74&gt;0,SUMIFS(INDIRECT("'Pricelist "&amp;'Solution-based'!$B$3&amp;"'!$"&amp;CHAR(70+$A$2)&amp;"$3:$"&amp;CHAR(70+$A$2)&amp;"$130"),INDIRECT("'Pricelist "&amp;'Solution-based'!$B$3&amp;"'!$O$3:$O$130"),'Calculator +1 tier'!$C74),""),"Pricelist not found"))</f>
        <v/>
      </c>
      <c r="F74" s="433" t="str">
        <f t="shared" ca="1" si="6"/>
        <v/>
      </c>
      <c r="H74" s="396"/>
    </row>
    <row r="75" spans="1:8" ht="17.45" customHeight="1">
      <c r="A75" s="18"/>
      <c r="B75" s="932" t="s">
        <v>572</v>
      </c>
      <c r="C75" s="913"/>
      <c r="D75" s="376"/>
      <c r="E75" s="443"/>
      <c r="F75" s="444"/>
      <c r="H75" s="396"/>
    </row>
    <row r="76" spans="1:8" ht="15" customHeight="1">
      <c r="A76" s="923" t="s">
        <v>573</v>
      </c>
      <c r="B76" s="922" t="s">
        <v>131</v>
      </c>
      <c r="C76" s="366" t="str">
        <f>'Calculator -1 tier'!C76</f>
        <v># Direct Backup to Public Cloud, Physical Servers</v>
      </c>
      <c r="D76" s="90">
        <f>'Calculator -1 tier'!D76</f>
        <v>0</v>
      </c>
      <c r="E76" s="434" t="str">
        <f ca="1">IFERROR(IF(D76&gt;0,SUMIFS(INDIRECT("'Pricelist "&amp;'Solution-based'!$B$3&amp;"'!$"&amp;CHAR(70+$A$2)&amp;"$3:$"&amp;CHAR(70+$A$2)&amp;"$130"),INDIRECT("'Pricelist "&amp;'Solution-based'!$B$3&amp;"'!$O$3:$O$130"),'Calculator +1 tier'!$C76),""),"Pricelist not found")</f>
        <v/>
      </c>
      <c r="F76" s="435" t="str">
        <f t="shared" ref="F76:F100" ca="1" si="7">IFERROR(D76*E76,"")</f>
        <v/>
      </c>
      <c r="H76" s="396"/>
    </row>
    <row r="77" spans="1:8" ht="14.45" customHeight="1">
      <c r="A77" s="923"/>
      <c r="B77" s="922"/>
      <c r="C77" s="375" t="str">
        <f>'Calculator -1 tier'!C77</f>
        <v># Direct Backup to Public Cloud, Virtual Machines</v>
      </c>
      <c r="D77" s="85">
        <f>'Calculator -1 tier'!D77</f>
        <v>0</v>
      </c>
      <c r="E77" s="445" t="str">
        <f ca="1">IFERROR(IF(D77&gt;0,SUMIFS(INDIRECT("'Pricelist "&amp;'Solution-based'!$B$3&amp;"'!$"&amp;CHAR(70+$A$2)&amp;"$3:$"&amp;CHAR(70+$A$2)&amp;"$130"),INDIRECT("'Pricelist "&amp;'Solution-based'!$B$3&amp;"'!$O$3:$O$130"),'Calculator +1 tier'!$C77),""),"Pricelist not found")</f>
        <v/>
      </c>
      <c r="F77" s="436" t="str">
        <f t="shared" ca="1" si="7"/>
        <v/>
      </c>
      <c r="H77" s="396"/>
    </row>
    <row r="78" spans="1:8" ht="14.45" customHeight="1">
      <c r="A78" s="923"/>
      <c r="B78" s="922"/>
      <c r="C78" s="366" t="str">
        <f>'Calculator -1 tier'!C78</f>
        <v># Direct Backup to Public Cloud, Workstations</v>
      </c>
      <c r="D78" s="85">
        <f>'Calculator -1 tier'!D78</f>
        <v>0</v>
      </c>
      <c r="E78" s="445" t="str">
        <f ca="1">IFERROR(IF(D78&gt;0,SUMIFS(INDIRECT("'Pricelist "&amp;'Solution-based'!$B$3&amp;"'!$"&amp;CHAR(70+$A$2)&amp;"$3:$"&amp;CHAR(70+$A$2)&amp;"$130"),INDIRECT("'Pricelist "&amp;'Solution-based'!$B$3&amp;"'!$O$3:$O$130"),'Calculator +1 tier'!$C78),""),"Pricelist not found")</f>
        <v/>
      </c>
      <c r="F78" s="436" t="str">
        <f t="shared" ca="1" si="7"/>
        <v/>
      </c>
      <c r="H78" s="396"/>
    </row>
    <row r="79" spans="1:8" ht="15" customHeight="1">
      <c r="A79" s="923"/>
      <c r="B79" s="922"/>
      <c r="C79" s="375" t="str">
        <f>'Calculator -1 tier'!C79</f>
        <v># Direct Backup to Public Cloud, Hosting Servers</v>
      </c>
      <c r="D79" s="85">
        <f>'Calculator -1 tier'!D79</f>
        <v>0</v>
      </c>
      <c r="E79" s="445" t="str">
        <f ca="1">IFERROR(IF(D79&gt;0,SUMIFS(INDIRECT("'Pricelist "&amp;'Solution-based'!$B$3&amp;"'!$"&amp;CHAR(70+$A$2)&amp;"$3:$"&amp;CHAR(70+$A$2)&amp;"$130"),INDIRECT("'Pricelist "&amp;'Solution-based'!$B$3&amp;"'!$O$3:$O$130"),'Calculator +1 tier'!$C79),""),"Pricelist not found")</f>
        <v/>
      </c>
      <c r="F79" s="436" t="str">
        <f t="shared" ca="1" si="7"/>
        <v/>
      </c>
      <c r="H79" s="396"/>
    </row>
    <row r="80" spans="1:8" ht="14.45" customHeight="1">
      <c r="A80" s="923"/>
      <c r="B80" s="81" t="s">
        <v>575</v>
      </c>
      <c r="C80" s="382" t="str">
        <f>'Calculator -1 tier'!C80</f>
        <v># Remote Monitoring and Management (RMM) Workloads (Servers, VMs, Workstations, Hosting Servers)</v>
      </c>
      <c r="D80" s="85">
        <f>'Calculator -1 tier'!D80</f>
        <v>0</v>
      </c>
      <c r="E80" s="445" t="str">
        <f ca="1">IFERROR(IF(D80&gt;0,SUMIFS(INDIRECT("'Pricelist "&amp;'Solution-based'!$B$3&amp;"'!$"&amp;CHAR(70+$A$2)&amp;"$3:$"&amp;CHAR(70+$A$2)&amp;"$130"),INDIRECT("'Pricelist "&amp;'Solution-based'!$B$3&amp;"'!$O$3:$O$130"),'Calculator +1 tier'!$C80),""),"Pricelist not found")</f>
        <v/>
      </c>
      <c r="F80" s="436" t="str">
        <f t="shared" ca="1" si="7"/>
        <v/>
      </c>
      <c r="H80" s="396"/>
    </row>
    <row r="81" spans="1:8" ht="14.45" customHeight="1">
      <c r="A81" s="923"/>
      <c r="B81" s="81"/>
      <c r="C81" s="382" t="str">
        <f>'Calculator -1 tier'!C81</f>
        <v># SaaS Security Posture Management Workloads (Microsoft 365 Seats)</v>
      </c>
      <c r="D81" s="85">
        <f>'Calculator -1 tier'!D81</f>
        <v>0</v>
      </c>
      <c r="E81" s="445" t="str">
        <f ca="1">IFERROR(IF(D81&gt;0,SUMIFS(INDIRECT("'Pricelist "&amp;'Solution-based'!$B$3&amp;"'!$"&amp;CHAR(70+$A$2)&amp;"$3:$"&amp;CHAR(70+$A$2)&amp;"$130"),INDIRECT("'Pricelist "&amp;'Solution-based'!$B$3&amp;"'!$O$3:$O$130"),'Calculator +1 tier'!$C81),""),"Pricelist not found")</f>
        <v/>
      </c>
      <c r="F81" s="436" t="str">
        <f t="shared" ca="1" si="7"/>
        <v/>
      </c>
      <c r="H81" s="396"/>
    </row>
    <row r="82" spans="1:8" ht="14.45" customHeight="1">
      <c r="A82" s="923"/>
      <c r="B82" s="927" t="s">
        <v>576</v>
      </c>
      <c r="C82" s="383" t="str">
        <f>'Calculator -1 tier'!C82</f>
        <v># Endpoint Detection and Response (EDR) Workloads (Servers, VMs, Workstations, Hosting Servers)</v>
      </c>
      <c r="D82" s="85">
        <f>'Calculator -1 tier'!D82</f>
        <v>0</v>
      </c>
      <c r="E82" s="445" t="str">
        <f ca="1">IFERROR(IF(D82&gt;0,SUMIFS(INDIRECT("'Pricelist "&amp;'Solution-based'!$B$3&amp;"'!$"&amp;CHAR(70+$A$2)&amp;"$3:$"&amp;CHAR(70+$A$2)&amp;"$130"),INDIRECT("'Pricelist "&amp;'Solution-based'!$B$3&amp;"'!$O$3:$O$130"),'Calculator +1 tier'!$C82),""),"Pricelist not found")</f>
        <v/>
      </c>
      <c r="F82" s="436" t="str">
        <f t="shared" ca="1" si="7"/>
        <v/>
      </c>
      <c r="H82" s="396"/>
    </row>
    <row r="83" spans="1:8" ht="27.95" customHeight="1">
      <c r="A83" s="923"/>
      <c r="B83" s="922"/>
      <c r="C83" s="383" t="str">
        <f>'Calculator -1 tier'!C83</f>
        <v># Extended Detection and Response (XDR) Workloads (Servers, VMs, Workstations, Hosting Servers)</v>
      </c>
      <c r="D83" s="85">
        <f>'Calculator -1 tier'!D83</f>
        <v>0</v>
      </c>
      <c r="E83" s="445" t="str">
        <f ca="1">IFERROR(IF(D83&gt;0,SUMIFS(INDIRECT("'Pricelist "&amp;'Solution-based'!$B$3&amp;"'!$"&amp;CHAR(70+$A$2)&amp;"$3:$"&amp;CHAR(70+$A$2)&amp;"$130"),INDIRECT("'Pricelist "&amp;'Solution-based'!$B$3&amp;"'!$O$3:$O$130"),'Calculator +1 tier'!$C83),""),"Pricelist not found")</f>
        <v/>
      </c>
      <c r="F83" s="436" t="str">
        <f t="shared" ca="1" si="7"/>
        <v/>
      </c>
      <c r="H83" s="396"/>
    </row>
    <row r="84" spans="1:8" ht="27.95" customHeight="1">
      <c r="A84" s="923"/>
      <c r="B84" s="922"/>
      <c r="C84" s="383" t="str">
        <f>'Calculator -1 tier'!C84</f>
        <v># In-house MDR Workloads - Standard - Partner-level (Servers, VMs, Workstations, Hosting Servers)</v>
      </c>
      <c r="D84" s="85">
        <f>'Calculator -1 tier'!D84</f>
        <v>0</v>
      </c>
      <c r="E84" s="445" t="str">
        <f ca="1">IFERROR(IF(D84&gt;0,SUMIFS(INDIRECT("'Pricelist "&amp;'Solution-based'!$B$3&amp;"'!$"&amp;CHAR(70+$A$2)&amp;"$3:$"&amp;CHAR(70+$A$2)&amp;"$130"),INDIRECT("'Pricelist "&amp;'Solution-based'!$B$3&amp;"'!$O$3:$O$130"),'Calculator +1 tier'!$C84),""),"Pricelist not found")</f>
        <v/>
      </c>
      <c r="F84" s="436" t="str">
        <f t="shared" ref="F84:F87" ca="1" si="8">IFERROR(D84*E84,"")</f>
        <v/>
      </c>
      <c r="H84" s="396"/>
    </row>
    <row r="85" spans="1:8" ht="27.95" customHeight="1">
      <c r="A85" s="923"/>
      <c r="B85" s="922"/>
      <c r="C85" s="383" t="str">
        <f>'Calculator -1 tier'!C85</f>
        <v># In-house MDR Workloads - Advanced - Partner-level (Servers, VMs, Workstations, Hosting Servers)</v>
      </c>
      <c r="D85" s="85">
        <f>'Calculator -1 tier'!D85</f>
        <v>0</v>
      </c>
      <c r="E85" s="445" t="str">
        <f ca="1">IFERROR(IF(D85&gt;0,SUMIFS(INDIRECT("'Pricelist "&amp;'Solution-based'!$B$3&amp;"'!$"&amp;CHAR(70+$A$2)&amp;"$3:$"&amp;CHAR(70+$A$2)&amp;"$130"),INDIRECT("'Pricelist "&amp;'Solution-based'!$B$3&amp;"'!$O$3:$O$130"),'Calculator +1 tier'!$C85),""),"Pricelist not found")</f>
        <v/>
      </c>
      <c r="F85" s="436" t="str">
        <f t="shared" ca="1" si="8"/>
        <v/>
      </c>
      <c r="H85" s="396"/>
    </row>
    <row r="86" spans="1:8" ht="27.95" customHeight="1">
      <c r="A86" s="923"/>
      <c r="B86" s="922"/>
      <c r="C86" s="383" t="str">
        <f>'Calculator -1 tier'!C86</f>
        <v># In-house MDR Workloads - Standard - Customer-level (Servers, VMs, Workstations, Hosting Servers)</v>
      </c>
      <c r="D86" s="85">
        <f>'Calculator -1 tier'!D86</f>
        <v>0</v>
      </c>
      <c r="E86" s="445" t="str">
        <f ca="1">IFERROR(IF(D86&gt;0,SUMIFS(INDIRECT("'Pricelist "&amp;'Solution-based'!$B$3&amp;"'!$"&amp;CHAR(70+$A$2)&amp;"$3:$"&amp;CHAR(70+$A$2)&amp;"$130"),INDIRECT("'Pricelist "&amp;'Solution-based'!$B$3&amp;"'!$O$3:$O$130"),'Calculator +1 tier'!$C86),""),"Pricelist not found")</f>
        <v/>
      </c>
      <c r="F86" s="436" t="str">
        <f t="shared" ca="1" si="8"/>
        <v/>
      </c>
      <c r="H86" s="396"/>
    </row>
    <row r="87" spans="1:8" ht="27.95" customHeight="1">
      <c r="A87" s="923"/>
      <c r="B87" s="922"/>
      <c r="C87" s="383" t="str">
        <f>'Calculator -1 tier'!C87</f>
        <v># In-house MDR Workloads - Advanced - Customer-level (Servers, VMs, Workstations, Hosting Servers)</v>
      </c>
      <c r="D87" s="85">
        <f>'Calculator -1 tier'!D87</f>
        <v>0</v>
      </c>
      <c r="E87" s="445" t="str">
        <f ca="1">IFERROR(IF(D87&gt;0,SUMIFS(INDIRECT("'Pricelist "&amp;'Solution-based'!$B$3&amp;"'!$"&amp;CHAR(70+$A$2)&amp;"$3:$"&amp;CHAR(70+$A$2)&amp;"$130"),INDIRECT("'Pricelist "&amp;'Solution-based'!$B$3&amp;"'!$O$3:$O$130"),'Calculator +1 tier'!$C87),""),"Pricelist not found")</f>
        <v/>
      </c>
      <c r="F87" s="436" t="str">
        <f t="shared" ca="1" si="8"/>
        <v/>
      </c>
      <c r="H87" s="396"/>
    </row>
    <row r="88" spans="1:8" ht="15" customHeight="1">
      <c r="A88" s="923"/>
      <c r="B88" s="922"/>
      <c r="C88" s="383" t="str">
        <f>'Calculator -1 tier'!C88</f>
        <v># 3rd Party MDR Workloads - Standard (Servers, VMs, Workstations, Hosting Servers)</v>
      </c>
      <c r="D88" s="85">
        <f>'Calculator -1 tier'!D88</f>
        <v>0</v>
      </c>
      <c r="E88" s="445" t="str">
        <f ca="1">IFERROR(IF(D88&gt;0,SUMIFS(INDIRECT("'Pricelist "&amp;'Solution-based'!$B$3&amp;"'!$"&amp;CHAR(70+$A$2)&amp;"$3:$"&amp;CHAR(70+$A$2)&amp;"$130"),INDIRECT("'Pricelist "&amp;'Solution-based'!$B$3&amp;"'!$O$3:$O$130"),'Calculator +1 tier'!$C88),""),"Pricelist not found")</f>
        <v/>
      </c>
      <c r="F88" s="436" t="str">
        <f t="shared" ca="1" si="7"/>
        <v/>
      </c>
      <c r="H88" s="396"/>
    </row>
    <row r="89" spans="1:8" ht="14.45" customHeight="1">
      <c r="A89" s="923"/>
      <c r="B89" s="928"/>
      <c r="C89" s="383" t="str">
        <f>'Calculator -1 tier'!C89</f>
        <v># 3rd Party MDR Workloads - Advanced (Servers, VMs, Workstations, Hosting Servers)</v>
      </c>
      <c r="D89" s="85">
        <f>'Calculator -1 tier'!D89</f>
        <v>0</v>
      </c>
      <c r="E89" s="445" t="str">
        <f ca="1">IFERROR(IF(D89&gt;0,SUMIFS(INDIRECT("'Pricelist "&amp;'Solution-based'!$B$3&amp;"'!$"&amp;CHAR(70+$A$2)&amp;"$3:$"&amp;CHAR(70+$A$2)&amp;"$130"),INDIRECT("'Pricelist "&amp;'Solution-based'!$B$3&amp;"'!$O$3:$O$130"),'Calculator +1 tier'!$C89),""),"Pricelist not found")</f>
        <v/>
      </c>
      <c r="F89" s="436" t="str">
        <f t="shared" ca="1" si="7"/>
        <v/>
      </c>
      <c r="H89" s="396"/>
    </row>
    <row r="90" spans="1:8" ht="14.45" customHeight="1">
      <c r="A90" s="923"/>
      <c r="B90" s="248"/>
      <c r="C90" s="383" t="str">
        <f>'Calculator -1 tier'!C90</f>
        <v># Gen AI Protection Workloads</v>
      </c>
      <c r="D90" s="85">
        <f>'Calculator -1 tier'!D90</f>
        <v>0</v>
      </c>
      <c r="E90" s="445" t="str">
        <f ca="1">IFERROR(IF(D90&gt;0,SUMIFS(INDIRECT("'Pricelist "&amp;'Solution-based'!$B$3&amp;"'!$"&amp;CHAR(70+$A$2)&amp;"$3:$"&amp;CHAR(70+$A$2)&amp;"$130"),INDIRECT("'Pricelist "&amp;'Solution-based'!$B$3&amp;"'!$O$3:$O$130"),'Calculator +1 tier'!$C90),""),"Pricelist not found")</f>
        <v/>
      </c>
      <c r="F90" s="436" t="str">
        <f t="shared" ref="F90" ca="1" si="9">IFERROR(D90*E90,"")</f>
        <v/>
      </c>
      <c r="H90" s="396"/>
    </row>
    <row r="91" spans="1:8" ht="14.45" customHeight="1">
      <c r="A91" s="923"/>
      <c r="B91" s="927" t="s">
        <v>577</v>
      </c>
      <c r="C91" s="383" t="str">
        <f>'Calculator -1 tier'!C91</f>
        <v># Email Security Users</v>
      </c>
      <c r="D91" s="85">
        <f>'Calculator -1 tier'!D91</f>
        <v>0</v>
      </c>
      <c r="E91" s="445" t="str">
        <f ca="1">IFERROR(IF(D91&gt;0,SUMIFS(INDIRECT("'Pricelist "&amp;'Solution-based'!$B$3&amp;"'!$"&amp;CHAR(70+$A$2)&amp;"$3:$"&amp;CHAR(70+$A$2)&amp;"$130"),INDIRECT("'Pricelist "&amp;'Solution-based'!$B$3&amp;"'!$O$3:$O$130"),'Calculator +1 tier'!$C91),""),"Pricelist not found")</f>
        <v/>
      </c>
      <c r="F91" s="436" t="str">
        <f t="shared" ca="1" si="7"/>
        <v/>
      </c>
      <c r="H91" s="396"/>
    </row>
    <row r="92" spans="1:8" ht="14.45" customHeight="1">
      <c r="A92" s="923"/>
      <c r="B92" s="924"/>
      <c r="C92" s="384" t="str">
        <f>'Calculator -1 tier'!C92</f>
        <v># Collaboration Security Users</v>
      </c>
      <c r="D92" s="85">
        <f>'Calculator -1 tier'!D92</f>
        <v>0</v>
      </c>
      <c r="E92" s="445" t="str">
        <f ca="1">IFERROR(IF(D92&gt;0,SUMIFS(INDIRECT("'Pricelist "&amp;'Solution-based'!$B$3&amp;"'!$"&amp;CHAR(70+$A$2)&amp;"$3:$"&amp;CHAR(70+$A$2)&amp;"$130"),INDIRECT("'Pricelist "&amp;'Solution-based'!$B$3&amp;"'!$O$3:$O$130"),'Calculator +1 tier'!$C92),""),"Pricelist not found")</f>
        <v/>
      </c>
      <c r="F92" s="436" t="str">
        <f t="shared" ca="1" si="7"/>
        <v/>
      </c>
      <c r="H92" s="396"/>
    </row>
    <row r="93" spans="1:8" ht="14.45" customHeight="1">
      <c r="A93" s="923"/>
      <c r="B93" s="82" t="s">
        <v>39</v>
      </c>
      <c r="C93" s="384" t="str">
        <f>'Calculator -1 tier'!C93</f>
        <v># Security Awareness Training (Users)</v>
      </c>
      <c r="D93" s="85">
        <f>'Calculator -1 tier'!D93</f>
        <v>0</v>
      </c>
      <c r="E93" s="445" t="str">
        <f ca="1">IFERROR(IF(D93&gt;0,SUMIFS(INDIRECT("'Pricelist "&amp;'Solution-based'!$B$3&amp;"'!$"&amp;CHAR(70+$A$2)&amp;"$3:$"&amp;CHAR(70+$A$2)&amp;"$130"),INDIRECT("'Pricelist "&amp;'Solution-based'!$B$3&amp;"'!$O$3:$O$130"),'Calculator +1 tier'!$C93),""),"Pricelist not found")</f>
        <v/>
      </c>
      <c r="F93" s="436" t="str">
        <f t="shared" ca="1" si="7"/>
        <v/>
      </c>
      <c r="H93" s="396"/>
    </row>
    <row r="94" spans="1:8" ht="14.45" customHeight="1">
      <c r="A94" s="923"/>
      <c r="B94" s="67" t="s">
        <v>578</v>
      </c>
      <c r="C94" s="385" t="str">
        <f>'Calculator -1 tier'!C94</f>
        <v># Data Loss Prevention Workloads (Servers, VMs, Workstations, Hosting Servers)</v>
      </c>
      <c r="D94" s="85">
        <f>'Calculator -1 tier'!D94</f>
        <v>0</v>
      </c>
      <c r="E94" s="445" t="str">
        <f ca="1">IFERROR(IF(D94&gt;0,SUMIFS(INDIRECT("'Pricelist "&amp;'Solution-based'!$B$3&amp;"'!$"&amp;CHAR(70+$A$2)&amp;"$3:$"&amp;CHAR(70+$A$2)&amp;"$130"),INDIRECT("'Pricelist "&amp;'Solution-based'!$B$3&amp;"'!$O$3:$O$130"),'Calculator +1 tier'!$C94),""),"Pricelist not found")</f>
        <v/>
      </c>
      <c r="F94" s="436" t="str">
        <f t="shared" ca="1" si="7"/>
        <v/>
      </c>
      <c r="H94" s="396"/>
    </row>
    <row r="95" spans="1:8" ht="15" customHeight="1">
      <c r="A95" s="923"/>
      <c r="B95" s="67" t="s">
        <v>579</v>
      </c>
      <c r="C95" s="386" t="str">
        <f>'Calculator -1 tier'!C95</f>
        <v># Professional Services Automation (PSA) users (3 minimum)</v>
      </c>
      <c r="D95" s="85">
        <f>'Calculator -1 tier'!D95</f>
        <v>0</v>
      </c>
      <c r="E95" s="445" t="str">
        <f ca="1">IFERROR(IF(D95&gt;0,SUMIFS(INDIRECT("'Pricelist "&amp;'Solution-based'!$B$3&amp;"'!$"&amp;CHAR(70+$A$2)&amp;"$3:$"&amp;CHAR(70+$A$2)&amp;"$130"),INDIRECT("'Pricelist "&amp;'Solution-based'!$B$3&amp;"'!$O$3:$O$130"),'Calculator +1 tier'!$C95),""),"Pricelist not found")</f>
        <v/>
      </c>
      <c r="F95" s="436" t="str">
        <f t="shared" ca="1" si="7"/>
        <v/>
      </c>
      <c r="H95" s="396"/>
    </row>
    <row r="96" spans="1:8" ht="15" customHeight="1">
      <c r="A96" s="923"/>
      <c r="B96" s="910" t="s">
        <v>580</v>
      </c>
      <c r="C96" s="387" t="str">
        <f>'Calculator -1 tier'!C96</f>
        <v>Disaster Recovery Cloud Storage - Acronis Hosted</v>
      </c>
      <c r="D96" s="85">
        <f>'Calculator -1 tier'!D96</f>
        <v>0</v>
      </c>
      <c r="E96" s="445" t="str">
        <f ca="1">IFERROR(IF(D96&gt;0,SUMIFS(INDIRECT("'Pricelist "&amp;'Solution-based'!$B$3&amp;"'!$"&amp;CHAR(70+$A$2)&amp;"$3:$"&amp;CHAR(70+$A$2)&amp;"$130"),INDIRECT("'Pricelist "&amp;'Solution-based'!$B$3&amp;"'!$O$3:$O$130"),'Calculator +1 tier'!$C96,INDIRECT("'Pricelist "&amp;'Solution-based'!$B$3&amp;"'!$E$3:$E$130"),$D$3),""),"Pricelist not found")</f>
        <v/>
      </c>
      <c r="F96" s="436" t="str">
        <f t="shared" ca="1" si="7"/>
        <v/>
      </c>
      <c r="H96" s="396"/>
    </row>
    <row r="97" spans="1:8" ht="15" customHeight="1">
      <c r="A97" s="923"/>
      <c r="B97" s="911"/>
      <c r="C97" s="375" t="str">
        <f>'Calculator -1 tier'!C97</f>
        <v>Disaster Recovery Cloud Storage - Service Provider Hosted</v>
      </c>
      <c r="D97" s="85">
        <f>'Calculator -1 tier'!D97</f>
        <v>0</v>
      </c>
      <c r="E97" s="445" t="str">
        <f ca="1">IFERROR(IF(D97&gt;0,SUMIFS(INDIRECT("'Pricelist "&amp;'Solution-based'!$B$3&amp;"'!$"&amp;CHAR(70+$A$2)&amp;"$3:$"&amp;CHAR(70+$A$2)&amp;"$130"),INDIRECT("'Pricelist "&amp;'Solution-based'!$B$3&amp;"'!$O$3:$O$130"),'Calculator +1 tier'!$C97),""),"Pricelist not found")</f>
        <v/>
      </c>
      <c r="F97" s="436" t="str">
        <f t="shared" ca="1" si="7"/>
        <v/>
      </c>
      <c r="H97" s="396"/>
    </row>
    <row r="98" spans="1:8" ht="15" customHeight="1">
      <c r="A98" s="923"/>
      <c r="B98" s="911"/>
      <c r="C98" s="366" t="str">
        <f>'Calculator -1 tier'!C98</f>
        <v>Monthly Compute Point Consumption (tests)</v>
      </c>
      <c r="D98" s="341" t="str">
        <f>'Calculator -1 tier'!D98</f>
        <v/>
      </c>
      <c r="E98" s="445">
        <f ca="1">IFERROR(IF(D98&gt;0,SUMIFS(INDIRECT("'Pricelist "&amp;'Solution-based'!$B$3&amp;"'!$"&amp;CHAR(70+$A$2)&amp;"$3:$"&amp;CHAR(70+$A$2)&amp;"$130"),INDIRECT("'Pricelist "&amp;'Solution-based'!$B$3&amp;"'!$O$3:$O$130"),'Calculator +1 tier'!$C98),""),"Pricelist not found")</f>
        <v>5.5800000000000002E-2</v>
      </c>
      <c r="F98" s="436" t="str">
        <f t="shared" ca="1" si="7"/>
        <v/>
      </c>
      <c r="H98" s="396"/>
    </row>
    <row r="99" spans="1:8" ht="15" customHeight="1">
      <c r="A99" s="923"/>
      <c r="B99" s="911"/>
      <c r="C99" s="366" t="str">
        <f>'Calculator -1 tier'!C99</f>
        <v># DR and Direct Backup to Azure workloads</v>
      </c>
      <c r="D99" s="85">
        <f>'Calculator -1 tier'!D99</f>
        <v>0</v>
      </c>
      <c r="E99" s="445" t="str">
        <f ca="1">IFERROR(IF(D99&gt;0,SUMIFS(INDIRECT("'Pricelist "&amp;'Solution-based'!$B$3&amp;"'!$"&amp;CHAR(70+$A$2)&amp;"$3:$"&amp;CHAR(70+$A$2)&amp;"$130"),INDIRECT("'Pricelist "&amp;'Solution-based'!$B$3&amp;"'!$O$3:$O$130"),'Calculator +1 tier'!$C99),""),"Pricelist not found")</f>
        <v/>
      </c>
      <c r="F99" s="436" t="str">
        <f t="shared" ca="1" si="7"/>
        <v/>
      </c>
      <c r="H99" s="396"/>
    </row>
    <row r="100" spans="1:8" ht="15" customHeight="1">
      <c r="A100" s="923"/>
      <c r="B100" s="911"/>
      <c r="C100" s="375" t="str">
        <f>'Calculator -1 tier'!C100</f>
        <v>Public IPs</v>
      </c>
      <c r="D100" s="85">
        <f>'Calculator -1 tier'!D100</f>
        <v>0</v>
      </c>
      <c r="E100" s="445" t="str">
        <f ca="1">IFERROR(IF(D100&gt;0,SUMIFS(INDIRECT("'Pricelist "&amp;'Solution-based'!$B$3&amp;"'!$"&amp;CHAR(70+$A$2)&amp;"$3:$"&amp;CHAR(70+$A$2)&amp;"$130"),INDIRECT("'Pricelist "&amp;'Solution-based'!$B$3&amp;"'!$O$3:$O$130"),'Calculator +1 tier'!$C100),""),"Pricelist not found")</f>
        <v/>
      </c>
      <c r="F100" s="436" t="str">
        <f t="shared" ca="1" si="7"/>
        <v/>
      </c>
      <c r="H100" s="396"/>
    </row>
    <row r="101" spans="1:8" ht="15" customHeight="1">
      <c r="A101" s="923"/>
      <c r="B101" s="362" t="s">
        <v>62</v>
      </c>
      <c r="C101" s="487" t="str">
        <f>'Calculator -1 tier'!C101</f>
        <v># Cyber Employee Agents</v>
      </c>
      <c r="D101" s="90">
        <f>'Calculator -1 tier'!D101</f>
        <v>0</v>
      </c>
      <c r="E101" s="434" t="str">
        <f ca="1">IF(AND(D101&gt;0,$D$3="G2"),"Not available for G2",IFERROR(IF(D101&gt;0,SUMIFS(INDIRECT("'Pricelist "&amp;'Solution-based'!$B$3&amp;"'!$"&amp;CHAR(70+$A$2)&amp;"$3:$"&amp;CHAR(70+$A$2)&amp;"$130"),INDIRECT("'Pricelist "&amp;'Solution-based'!$B$3&amp;"'!$O$3:$O$130"),'Calculator +1 tier'!$C101),""),"Pricelist not found"))</f>
        <v/>
      </c>
      <c r="F101" s="435" t="str">
        <f t="shared" ref="F101:F109" ca="1" si="10">IFERROR(D101*E101,"")</f>
        <v/>
      </c>
      <c r="H101" s="396"/>
    </row>
    <row r="102" spans="1:8" ht="15" customHeight="1">
      <c r="A102" s="923"/>
      <c r="B102" s="84"/>
      <c r="C102" s="388" t="str">
        <f>'Calculator -1 tier'!C102</f>
        <v># Cyber Employee Usage Units</v>
      </c>
      <c r="D102" s="158">
        <f>'Calculator -1 tier'!D102</f>
        <v>0</v>
      </c>
      <c r="E102" s="437" t="str">
        <f ca="1">IF(AND(D102&gt;0,$D$3="G2"),"Not available for G2",IFERROR(IF(D102&gt;0,SUMIFS(INDIRECT("'Pricelist "&amp;'Solution-based'!$B$3&amp;"'!$"&amp;CHAR(70+$A$2)&amp;"$3:$"&amp;CHAR(70+$A$2)&amp;"$130"),INDIRECT("'Pricelist "&amp;'Solution-based'!$B$3&amp;"'!$O$3:$O$130"),'Calculator +1 tier'!$C102),""),"Pricelist not found"))</f>
        <v/>
      </c>
      <c r="F102" s="433" t="str">
        <f t="shared" ca="1" si="10"/>
        <v/>
      </c>
      <c r="H102" s="396"/>
    </row>
    <row r="103" spans="1:8" ht="15" customHeight="1">
      <c r="A103" s="923" t="s">
        <v>52</v>
      </c>
      <c r="B103" s="471" t="s">
        <v>53</v>
      </c>
      <c r="C103" s="486" t="str">
        <f>'Calculator -1 tier'!C103</f>
        <v># Physical Cores, Standard Support Included</v>
      </c>
      <c r="D103" s="483">
        <f>'Calculator -1 tier'!D103</f>
        <v>0</v>
      </c>
      <c r="E103" s="484" t="str">
        <f ca="1">IFERROR(IF(D103&gt;0,SUMIFS(INDIRECT("'Pricelist "&amp;'Solution-based'!$B$3&amp;"'!$"&amp;CHAR(70+$A$2)&amp;"$3:$"&amp;CHAR(70+$A$2)&amp;"$130"),INDIRECT("'Pricelist "&amp;'Solution-based'!$B$3&amp;"'!$O$3:$O$130"),'Calculator +1 tier'!$C103),""),"Pricelist not found")</f>
        <v/>
      </c>
      <c r="F103" s="485" t="str">
        <f t="shared" ca="1" si="10"/>
        <v/>
      </c>
      <c r="H103" s="396"/>
    </row>
    <row r="104" spans="1:8" ht="15" customHeight="1">
      <c r="A104" s="923"/>
      <c r="B104" s="929" t="s">
        <v>55</v>
      </c>
      <c r="C104" s="487" t="str">
        <f>'Calculator -1 tier'!C104</f>
        <v># Used Standard vCPUs</v>
      </c>
      <c r="D104" s="90">
        <f>'Calculator -1 tier'!D104</f>
        <v>0</v>
      </c>
      <c r="E104" s="434" t="str">
        <f ca="1">IFERROR(IF(D104&gt;0,SUMIFS(INDIRECT("'Pricelist "&amp;'Solution-based'!$B$3&amp;"'!$"&amp;CHAR(70+$A$2)&amp;"$3:$"&amp;CHAR(70+$A$2)&amp;"$130"),INDIRECT("'Pricelist "&amp;'Solution-based'!$B$3&amp;"'!$O$3:$O$130"),'Calculator +1 tier'!$C104),""),"Pricelist not found")</f>
        <v/>
      </c>
      <c r="F104" s="435" t="str">
        <f t="shared" ca="1" si="10"/>
        <v/>
      </c>
      <c r="H104" s="396"/>
    </row>
    <row r="105" spans="1:8" ht="15" customHeight="1">
      <c r="A105" s="923"/>
      <c r="B105" s="930"/>
      <c r="C105" s="375" t="str">
        <f>'Calculator -1 tier'!C105</f>
        <v># GB of used Standard RAM</v>
      </c>
      <c r="D105" s="85">
        <f>'Calculator -1 tier'!D105</f>
        <v>0</v>
      </c>
      <c r="E105" s="445" t="str">
        <f ca="1">IFERROR(IF(D105&gt;0,SUMIFS(INDIRECT("'Pricelist "&amp;'Solution-based'!$B$3&amp;"'!$"&amp;CHAR(70+$A$2)&amp;"$3:$"&amp;CHAR(70+$A$2)&amp;"$130"),INDIRECT("'Pricelist "&amp;'Solution-based'!$B$3&amp;"'!$O$3:$O$130"),'Calculator +1 tier'!$C105),""),"Pricelist not found")</f>
        <v/>
      </c>
      <c r="F105" s="436" t="str">
        <f t="shared" ca="1" si="10"/>
        <v/>
      </c>
      <c r="H105" s="396"/>
    </row>
    <row r="106" spans="1:8" ht="15" customHeight="1">
      <c r="A106" s="923"/>
      <c r="B106" s="930"/>
      <c r="C106" s="375" t="str">
        <f>'Calculator -1 tier'!C106</f>
        <v>Cyber Frame Cloud Block Storage</v>
      </c>
      <c r="D106" s="85">
        <f>'Calculator -1 tier'!D106</f>
        <v>0</v>
      </c>
      <c r="E106" s="445" t="str">
        <f ca="1">IFERROR(IF(D106&gt;0,SUMIFS(INDIRECT("'Pricelist "&amp;'Solution-based'!$B$3&amp;"'!$"&amp;CHAR(70+$A$2)&amp;"$3:$"&amp;CHAR(70+$A$2)&amp;"$130"),INDIRECT("'Pricelist "&amp;'Solution-based'!$B$3&amp;"'!$O$3:$O$130"),'Calculator +1 tier'!$C106),""),"Pricelist not found")</f>
        <v/>
      </c>
      <c r="F106" s="436" t="str">
        <f t="shared" ca="1" si="10"/>
        <v/>
      </c>
      <c r="H106" s="396"/>
    </row>
    <row r="107" spans="1:8" ht="15" customHeight="1">
      <c r="A107" s="923"/>
      <c r="B107" s="930"/>
      <c r="C107" s="375" t="e">
        <f>'Calculator -1 tier'!C107</f>
        <v>#REF!</v>
      </c>
      <c r="D107" s="85" t="e">
        <f>'Calculator -1 tier'!D107</f>
        <v>#REF!</v>
      </c>
      <c r="E107" s="445" t="str">
        <f ca="1">IFERROR(IF(D107&gt;0,SUMIFS(INDIRECT("'Pricelist "&amp;'Solution-based'!$B$3&amp;"'!$"&amp;CHAR(70+$A$2)&amp;"$3:$"&amp;CHAR(70+$A$2)&amp;"$130"),INDIRECT("'Pricelist "&amp;'Solution-based'!$B$3&amp;"'!$O$3:$O$130"),'Calculator +1 tier'!$C107),""),"Pricelist not found")</f>
        <v>Pricelist not found</v>
      </c>
      <c r="F107" s="436" t="str">
        <f t="shared" ref="F107" ca="1" si="11">IFERROR(D107*E107,"")</f>
        <v/>
      </c>
      <c r="H107" s="396"/>
    </row>
    <row r="108" spans="1:8" ht="15" customHeight="1">
      <c r="A108" s="923"/>
      <c r="B108" s="930"/>
      <c r="C108" s="375" t="str">
        <f>'Calculator -1 tier'!C108</f>
        <v># Public IPs for Cyber Frame Cloud</v>
      </c>
      <c r="D108" s="85">
        <f>'Calculator -1 tier'!D108</f>
        <v>0</v>
      </c>
      <c r="E108" s="445" t="str">
        <f ca="1">IFERROR(IF(D108&gt;0,SUMIFS(INDIRECT("'Pricelist "&amp;'Solution-based'!$B$3&amp;"'!$"&amp;CHAR(70+$A$2)&amp;"$3:$"&amp;CHAR(70+$A$2)&amp;"$130"),INDIRECT("'Pricelist "&amp;'Solution-based'!$B$3&amp;"'!$O$3:$O$130"),'Calculator +1 tier'!$C108),""),"Pricelist not found")</f>
        <v/>
      </c>
      <c r="F108" s="436" t="str">
        <f t="shared" ca="1" si="10"/>
        <v/>
      </c>
      <c r="H108" s="396"/>
    </row>
    <row r="109" spans="1:8" ht="15" customHeight="1">
      <c r="A109" s="923"/>
      <c r="B109" s="931"/>
      <c r="C109" s="388" t="str">
        <f>'Calculator -1 tier'!C109</f>
        <v># Windows Licenses (per licensed vCPU)</v>
      </c>
      <c r="D109" s="158">
        <f>'Calculator -1 tier'!D109</f>
        <v>0</v>
      </c>
      <c r="E109" s="437" t="str">
        <f ca="1">IFERROR(IF(D109&gt;0,SUMIFS(INDIRECT("'Pricelist "&amp;'Solution-based'!$B$3&amp;"'!$"&amp;CHAR(70+$A$2)&amp;"$3:$"&amp;CHAR(70+$A$2)&amp;"$130"),INDIRECT("'Pricelist "&amp;'Solution-based'!$B$3&amp;"'!$O$3:$O$130"),'Calculator +1 tier'!$C109),""),"Pricelist not found")</f>
        <v/>
      </c>
      <c r="F109" s="433" t="str">
        <f t="shared" ca="1" si="10"/>
        <v/>
      </c>
      <c r="H109" s="396"/>
    </row>
    <row r="110" spans="1:8" ht="21" customHeight="1">
      <c r="A110" s="935" t="s">
        <v>581</v>
      </c>
      <c r="B110" s="912" t="s">
        <v>582</v>
      </c>
      <c r="C110" s="913"/>
      <c r="D110" s="389"/>
      <c r="E110" s="446"/>
      <c r="F110" s="444"/>
      <c r="H110" s="396"/>
    </row>
    <row r="111" spans="1:8" ht="14.45" customHeight="1">
      <c r="A111" s="935"/>
      <c r="B111" s="911" t="s">
        <v>69</v>
      </c>
      <c r="C111" s="375" t="str">
        <f>'Calculator -1 tier'!C111</f>
        <v>Cyber Files Cloud Acronis Hosted Storage (for per GB Model)</v>
      </c>
      <c r="D111" s="90">
        <f>'Calculator -1 tier'!D111</f>
        <v>0</v>
      </c>
      <c r="E111" s="438" t="str">
        <f ca="1">IFERROR(IF(D111&gt;0,SUMIFS(INDIRECT("'Pricelist "&amp;'Solution-based'!$B$3&amp;"'!$"&amp;CHAR(70+$A$2)&amp;"$3:$"&amp;CHAR(70+$A$2)&amp;"$130"),INDIRECT("'Pricelist "&amp;'Solution-based'!$B$3&amp;"'!$O$3:$O$130"),'Calculator +1 tier'!$C111,INDIRECT("'Pricelist "&amp;'Solution-based'!$B$3&amp;"'!$E$3:$E$130"),$D$3),""),"Pricelist not found")</f>
        <v/>
      </c>
      <c r="F111" s="435" t="str">
        <f ca="1">IFERROR(D111*E111,"")</f>
        <v/>
      </c>
      <c r="H111" s="396"/>
    </row>
    <row r="112" spans="1:8" ht="13.5" customHeight="1">
      <c r="A112" s="935"/>
      <c r="B112" s="936"/>
      <c r="C112" s="390" t="str">
        <f>'Calculator -1 tier'!C112</f>
        <v>Cyber Files Cloud Service Provider Hosted Storage</v>
      </c>
      <c r="D112" s="392">
        <f>'Calculator -1 tier'!D112</f>
        <v>0</v>
      </c>
      <c r="E112" s="439" t="str">
        <f ca="1">IFERROR(IF(D112&gt;0,SUMIFS(INDIRECT("'Pricelist "&amp;'Solution-based'!$B$3&amp;"'!$"&amp;CHAR(70+$A$2)&amp;"$3:$"&amp;CHAR(70+$A$2)&amp;"$130"),INDIRECT("'Pricelist "&amp;'Solution-based'!$B$3&amp;"'!$O$3:$O$130"),'Calculator +1 tier'!$C112),""),"Pricelist not found")</f>
        <v/>
      </c>
      <c r="F112" s="436" t="str">
        <f ca="1">IFERROR(D112*E112,"")</f>
        <v/>
      </c>
      <c r="H112" s="396"/>
    </row>
    <row r="113" spans="1:8" ht="14.45" customHeight="1">
      <c r="A113" s="935"/>
      <c r="B113" s="937" t="s">
        <v>66</v>
      </c>
      <c r="C113" s="391" t="str">
        <f>'Calculator -1 tier'!C113</f>
        <v># of Cyber Files Users</v>
      </c>
      <c r="D113" s="395">
        <f>'Calculator -1 tier'!D113</f>
        <v>0</v>
      </c>
      <c r="E113" s="439" t="str">
        <f ca="1">IFERROR(IF(D113&gt;0,SUMIFS(INDIRECT("'Pricelist "&amp;'Solution-based'!$B$3&amp;"'!$"&amp;CHAR(70+$A$2)&amp;"$3:$"&amp;CHAR(70+$A$2)&amp;"$130"),INDIRECT("'Pricelist "&amp;'Solution-based'!$B$3&amp;"'!$O$3:$O$130"),'Calculator +1 tier'!$C113),""),"Pricelist not found")</f>
        <v/>
      </c>
      <c r="F113" s="436" t="str">
        <f ca="1">IFERROR(D113*E113,"")</f>
        <v/>
      </c>
      <c r="H113" s="396"/>
    </row>
    <row r="114" spans="1:8" ht="15" customHeight="1">
      <c r="A114" s="935"/>
      <c r="B114" s="938"/>
      <c r="C114" s="390" t="str">
        <f>'Calculator -1 tier'!C114</f>
        <v>Cyber Files Cloud Acronis Hosted Storage (for per User Model)</v>
      </c>
      <c r="D114" s="392">
        <f>'Calculator -1 tier'!D114</f>
        <v>0</v>
      </c>
      <c r="E114" s="439" t="str">
        <f ca="1">IFERROR(IF(D114&gt;0,SUMIFS(INDIRECT("'Pricelist "&amp;'Solution-based'!$B$3&amp;"'!$"&amp;CHAR(70+$A$2)&amp;"$3:$"&amp;CHAR(70+$A$2)&amp;"$130"),INDIRECT("'Pricelist "&amp;'Solution-based'!$B$3&amp;"'!$O$3:$O$130"),'Calculator +1 tier'!$C114,INDIRECT("'Pricelist "&amp;'Solution-based'!$B$3&amp;"'!$E$3:$E$130"),$D$3),""),"Pricelist not found")</f>
        <v/>
      </c>
      <c r="F114" s="436" t="str">
        <f ca="1">IFERROR(D114*E114,"")</f>
        <v/>
      </c>
      <c r="H114" s="396"/>
    </row>
    <row r="115" spans="1:8" s="3" customFormat="1" ht="20.45" customHeight="1">
      <c r="A115" s="935" t="s">
        <v>71</v>
      </c>
      <c r="B115" s="932" t="s">
        <v>583</v>
      </c>
      <c r="C115" s="953"/>
      <c r="D115" s="393"/>
      <c r="E115" s="447"/>
      <c r="F115" s="448"/>
      <c r="H115" s="396"/>
    </row>
    <row r="116" spans="1:8" s="3" customFormat="1" ht="20.45" customHeight="1">
      <c r="A116" s="935"/>
      <c r="B116" s="37" t="s">
        <v>69</v>
      </c>
      <c r="C116" s="390" t="str">
        <f>'Calculator -1 tier'!C116</f>
        <v>Storage Required for S3/iSCSI/NFS/Compute (Per GB)</v>
      </c>
      <c r="D116" s="394">
        <f>'Calculator -1 tier'!D116</f>
        <v>0</v>
      </c>
      <c r="E116" s="442" t="str">
        <f ca="1">IFERROR(IF(D116&gt;0,SUMIFS(INDIRECT("'Pricelist "&amp;'Solution-based'!$B$3&amp;"'!$"&amp;CHAR(70+$A$2)&amp;"$3:$"&amp;CHAR(70+$A$2)&amp;"$130"),INDIRECT("'Pricelist "&amp;'Solution-based'!$B$3&amp;"'!$O$3:$O$130"),'Calculator +1 tier'!$C116),""),"Pricelist not found")</f>
        <v/>
      </c>
      <c r="F116" s="433" t="str">
        <f ca="1">IFERROR(D116*E116,"")</f>
        <v/>
      </c>
      <c r="H116" s="396"/>
    </row>
    <row r="117" spans="1:8" ht="15.6">
      <c r="A117" s="26"/>
      <c r="B117" s="17"/>
      <c r="C117" s="15"/>
      <c r="D117" s="103" t="s">
        <v>584</v>
      </c>
      <c r="E117" s="449"/>
      <c r="F117" s="466">
        <f ca="1">SUM(F5:F116)</f>
        <v>0</v>
      </c>
    </row>
    <row r="118" spans="1:8" ht="15.6">
      <c r="A118" s="5"/>
      <c r="B118" s="5"/>
      <c r="C118" s="5"/>
      <c r="D118" s="25" t="s">
        <v>76</v>
      </c>
      <c r="E118" s="450"/>
      <c r="F118" s="467">
        <f ca="1">IF(F117&gt;D2,F117,D2)</f>
        <v>500</v>
      </c>
      <c r="H118" s="468"/>
    </row>
    <row r="119" spans="1:8" ht="15.6">
      <c r="A119" s="5"/>
      <c r="B119" s="5"/>
      <c r="C119" s="5"/>
      <c r="D119" s="25" t="s">
        <v>77</v>
      </c>
      <c r="E119" s="450"/>
      <c r="F119" s="467">
        <f ca="1">F118*12</f>
        <v>6000</v>
      </c>
    </row>
  </sheetData>
  <mergeCells count="36">
    <mergeCell ref="A115:A116"/>
    <mergeCell ref="B115:C115"/>
    <mergeCell ref="B3:C3"/>
    <mergeCell ref="B76:B79"/>
    <mergeCell ref="A110:A114"/>
    <mergeCell ref="B110:C110"/>
    <mergeCell ref="B111:B112"/>
    <mergeCell ref="B113:B114"/>
    <mergeCell ref="B64:B67"/>
    <mergeCell ref="A76:A100"/>
    <mergeCell ref="B82:B89"/>
    <mergeCell ref="B91:B92"/>
    <mergeCell ref="B96:B100"/>
    <mergeCell ref="B27:B29"/>
    <mergeCell ref="A46:A74"/>
    <mergeCell ref="A101:A102"/>
    <mergeCell ref="A32:A33"/>
    <mergeCell ref="E3:F3"/>
    <mergeCell ref="A5:A31"/>
    <mergeCell ref="E2:F2"/>
    <mergeCell ref="B72:B74"/>
    <mergeCell ref="B2:C2"/>
    <mergeCell ref="B4:C4"/>
    <mergeCell ref="B46:B59"/>
    <mergeCell ref="B63:C63"/>
    <mergeCell ref="B5:B7"/>
    <mergeCell ref="B8:B13"/>
    <mergeCell ref="B14:B18"/>
    <mergeCell ref="B30:B31"/>
    <mergeCell ref="B19:B24"/>
    <mergeCell ref="B41:B44"/>
    <mergeCell ref="A103:A109"/>
    <mergeCell ref="B104:B109"/>
    <mergeCell ref="A34:A40"/>
    <mergeCell ref="B35:B40"/>
    <mergeCell ref="B75:C75"/>
  </mergeCells>
  <conditionalFormatting sqref="E118:F119">
    <cfRule type="expression" dxfId="0" priority="1">
      <formula>AND(#REF!&lt;#REF!,(SUM(#REF!)*#REF!&gt;0))</formula>
    </cfRule>
  </conditionalFormatting>
  <dataValidations count="1">
    <dataValidation allowBlank="1" showErrorMessage="1" sqref="D115" xr:uid="{00000000-0002-0000-0200-000005000000}"/>
  </dataValidations>
  <hyperlinks>
    <hyperlink ref="B3:C3" location="'DCs by groups'!A1" display="2. Choose Datacenter Group: " xr:uid="{292D9D0D-EBC7-47AE-9D0C-01324059E9DC}"/>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12FAD47-C36B-41D1-9834-7DAE8CC78D7B}">
          <x14:formula1>
            <xm:f>'Cloud DCs'!$I$2:$I$4</xm:f>
          </x14:formula1>
          <xm:sqref>D3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635FB358264646B1172502D9C3BBFF" ma:contentTypeVersion="19" ma:contentTypeDescription="Create a new document." ma:contentTypeScope="" ma:versionID="aebbb3f67f84748757dab79ce50099fc">
  <xsd:schema xmlns:xsd="http://www.w3.org/2001/XMLSchema" xmlns:xs="http://www.w3.org/2001/XMLSchema" xmlns:p="http://schemas.microsoft.com/office/2006/metadata/properties" xmlns:ns2="83f55c46-7319-4641-9b3e-66a0310294d3" xmlns:ns3="0cfad9d4-c105-4c4e-9860-ce7736075d39" targetNamespace="http://schemas.microsoft.com/office/2006/metadata/properties" ma:root="true" ma:fieldsID="dd001415686f6c0b7b4c09bc500d3d33" ns2:_="" ns3:_="">
    <xsd:import namespace="83f55c46-7319-4641-9b3e-66a0310294d3"/>
    <xsd:import namespace="0cfad9d4-c105-4c4e-9860-ce7736075d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_Flow_SignoffStatus" minOccurs="0"/>
                <xsd:element ref="ns2:MediaServiceDateTaken" minOccurs="0"/>
                <xsd:element ref="ns2:SGNotes" minOccurs="0"/>
                <xsd:element ref="ns2:MediaServiceSearchProperties" minOccurs="0"/>
                <xsd:element ref="ns2:MediaServiceLocation" minOccurs="0"/>
                <xsd:element ref="ns2:AD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f55c46-7319-4641-9b3e-66a0310294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b1518fd-bf57-4104-805d-81250a73c3d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Flow_SignoffStatus" ma:index="20" nillable="true" ma:displayName="Sign-off status" ma:internalName="Sign_x002d_off_x0020_status">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SGNotes" ma:index="22" nillable="true" ma:displayName="SG Notes" ma:description="Notes/information from Seán Gillings" ma:format="Dropdown" ma:internalName="SGNotes">
      <xsd:simpleType>
        <xsd:restriction base="dms:Text">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element name="ADN" ma:index="25" nillable="true" ma:displayName="ADN" ma:format="Dropdown" ma:internalName="ADN">
      <xsd:simpleType>
        <xsd:restriction base="dms:Text">
          <xsd:maxLength value="255"/>
        </xsd:restrictio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fad9d4-c105-4c4e-9860-ce7736075d3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cf5e9d47-22d5-4f2d-acfb-8a69fba1b513}" ma:internalName="TaxCatchAll" ma:showField="CatchAllData" ma:web="0cfad9d4-c105-4c4e-9860-ce7736075d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83f55c46-7319-4641-9b3e-66a0310294d3" xsi:nil="true"/>
    <SGNotes xmlns="83f55c46-7319-4641-9b3e-66a0310294d3" xsi:nil="true"/>
    <TaxCatchAll xmlns="0cfad9d4-c105-4c4e-9860-ce7736075d39" xsi:nil="true"/>
    <lcf76f155ced4ddcb4097134ff3c332f xmlns="83f55c46-7319-4641-9b3e-66a0310294d3">
      <Terms xmlns="http://schemas.microsoft.com/office/infopath/2007/PartnerControls"/>
    </lcf76f155ced4ddcb4097134ff3c332f>
    <ADN xmlns="83f55c46-7319-4641-9b3e-66a0310294d3" xsi:nil="true"/>
  </documentManagement>
</p:properties>
</file>

<file path=customXml/item3.xml><?xml version="1.0" encoding="utf-8"?>
<scriptIds xmlns="http://schemas.microsoft.com/office/extensibility/maker/v1.0" id="script-ids-node-id">
  <scriptId id="ms-officescript%3A%2F%2Fonedrive_business_itemlink%2F0163TUA5Q3FCWRF4V45ND3TOZBVVQV5LWA:ms-officescript%3A%2F%2Fonedrive_business_sharinglink%2Fu!aHR0cHM6Ly9hY3JvbmlzLW15LnNoYXJlcG9pbnQuY29tLzp1Oi9wL21hZ2RhbGVuYV96ZW1iaWsvSVFBYktLMFM4cnpyUjdtN0lhMWhYcTdBQVVlb0drcHpGTktqWEd4SjhmSWtQaUU"/>
</scriptId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5630EB-44EE-4292-A541-8F074112D5BE}"/>
</file>

<file path=customXml/itemProps2.xml><?xml version="1.0" encoding="utf-8"?>
<ds:datastoreItem xmlns:ds="http://schemas.openxmlformats.org/officeDocument/2006/customXml" ds:itemID="{7A2E0435-7E6B-423E-9A86-E5DCB8135A32}"/>
</file>

<file path=customXml/itemProps3.xml><?xml version="1.0" encoding="utf-8"?>
<ds:datastoreItem xmlns:ds="http://schemas.openxmlformats.org/officeDocument/2006/customXml" ds:itemID="{B48D41E4-60CD-40B2-A4E9-EB6DD0289995}"/>
</file>

<file path=customXml/itemProps4.xml><?xml version="1.0" encoding="utf-8"?>
<ds:datastoreItem xmlns:ds="http://schemas.openxmlformats.org/officeDocument/2006/customXml" ds:itemID="{D2095186-B66A-4167-892C-A458C947A3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Renat Kuramshin</dc:creator>
  <cp:keywords/>
  <dc:description/>
  <cp:lastModifiedBy/>
  <cp:revision/>
  <dcterms:created xsi:type="dcterms:W3CDTF">2021-01-09T14:20:48Z</dcterms:created>
  <dcterms:modified xsi:type="dcterms:W3CDTF">2026-09-15T11:03:09Z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0x010100C7635FB358264646B1172502D9C3BBFF</vt:lpwstr>
  </property>
  <property fmtid="{D5CDD505-2E9C-101B-9397-08002B2CF9AE}" pid="3" name="MediaServiceImageTags">
    <vt:lpwstr/>
  </property>
</Properties>
</file>